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dkre\Dropbox\My Eviction Defense\"/>
    </mc:Choice>
  </mc:AlternateContent>
  <xr:revisionPtr revIDLastSave="0" documentId="13_ncr:1_{83754B3C-9856-4E09-9480-F8109659B3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rified Resources" sheetId="1" r:id="rId1"/>
    <sheet name="README" sheetId="2" r:id="rId2"/>
    <sheet name="Matching Rules" sheetId="3" r:id="rId3"/>
    <sheet name="Intake Fields" sheetId="4" r:id="rId4"/>
    <sheet name="Key Sources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6" l="1"/>
  <c r="B5" i="6"/>
  <c r="B4" i="6"/>
  <c r="B3" i="6"/>
  <c r="B2" i="6"/>
</calcChain>
</file>

<file path=xl/sharedStrings.xml><?xml version="1.0" encoding="utf-8"?>
<sst xmlns="http://schemas.openxmlformats.org/spreadsheetml/2006/main" count="3003" uniqueCount="562">
  <si>
    <t>County</t>
  </si>
  <si>
    <t>Resource Category</t>
  </si>
  <si>
    <t>Organization</t>
  </si>
  <si>
    <t>Program / Service</t>
  </si>
  <si>
    <t>Website</t>
  </si>
  <si>
    <t>Phone</t>
  </si>
  <si>
    <t>Application / Intake URL</t>
  </si>
  <si>
    <t>Eligibility / Use Notes</t>
  </si>
  <si>
    <t>Funding Status</t>
  </si>
  <si>
    <t>Verification Source URL</t>
  </si>
  <si>
    <t>Verified Date</t>
  </si>
  <si>
    <t>Priority</t>
  </si>
  <si>
    <t>Match Tags</t>
  </si>
  <si>
    <t>Internal QA Notes</t>
  </si>
  <si>
    <t>Palm Beach</t>
  </si>
  <si>
    <t>County Housing Department</t>
  </si>
  <si>
    <t>Palm Beach County Housing &amp; Economic Development</t>
  </si>
  <si>
    <t>Mortgage and Housing Investments / housing programs</t>
  </si>
  <si>
    <t>https://discover.pbc.gov/HED/Pages/Mortgage%20and%20Housing%20Investments.aspx</t>
  </si>
  <si>
    <t>See website</t>
  </si>
  <si>
    <t>Core county housing/community development office; first stop for local program status.</t>
  </si>
  <si>
    <t>Verify intake requirements</t>
  </si>
  <si>
    <t>2026-07-09</t>
  </si>
  <si>
    <t>Core</t>
  </si>
  <si>
    <t>county,housing,program status</t>
  </si>
  <si>
    <t>Verified from official or agency/source page; re-check before providing to tenant.</t>
  </si>
  <si>
    <t>SHIP Program</t>
  </si>
  <si>
    <t>Palm Beach County SHIP / Housing Programs</t>
  </si>
  <si>
    <t>SHIP-assisted housing and rental/utility/disaster strategies</t>
  </si>
  <si>
    <t>SHIP is local-government administered; many SHIP strategies are homeownership/repair rather than direct rent help, so confirm eligibility.</t>
  </si>
  <si>
    <t>Open/closed and eligibility vary by program cycle</t>
  </si>
  <si>
    <t>ship,housing,homeownership,repair</t>
  </si>
  <si>
    <t>Emergency Rental / Housing Assistance</t>
  </si>
  <si>
    <t>Palm Beach County Community Services</t>
  </si>
  <si>
    <t>Rental / relocation assistance; portal may open/close monthly</t>
  </si>
  <si>
    <t>https://www.rentalassistancepbc.org/</t>
  </si>
  <si>
    <t>833-273-9455</t>
  </si>
  <si>
    <t>Direct rent, deposit, relocation, homeless prevention, or housing stabilization resource where available; funding can open/close.</t>
  </si>
  <si>
    <t>Funding/appointments may open and close</t>
  </si>
  <si>
    <t>High</t>
  </si>
  <si>
    <t>rent,eviction,emergency,homeless prevention</t>
  </si>
  <si>
    <t>Legal Aid / Eviction Defense</t>
  </si>
  <si>
    <t>Legal Aid Society of Palm Beach County</t>
  </si>
  <si>
    <t>Tenant/housing legal aid intake</t>
  </si>
  <si>
    <t>https://legalaidpbc.org/</t>
  </si>
  <si>
    <t>Free/low-cost tenant legal help or eviction resources for eligible tenants.</t>
  </si>
  <si>
    <t>legal aid,eviction,court,tenant rights</t>
  </si>
  <si>
    <t>United Way / 211</t>
  </si>
  <si>
    <t>211 Palm Beach / Treasure Coast</t>
  </si>
  <si>
    <t>24/7 community resource referrals</t>
  </si>
  <si>
    <t>https://211palmbeach.org/</t>
  </si>
  <si>
    <t>211</t>
  </si>
  <si>
    <t>24/7 referral hub for rent, utilities, food, shelter and emergency resources.</t>
  </si>
  <si>
    <t>211,referral,rent,utilities</t>
  </si>
  <si>
    <t>Salvation Army Rent/Utility Assistance</t>
  </si>
  <si>
    <t>The Salvation Army - Florida Division</t>
  </si>
  <si>
    <t>Utility/rent assistance locator and local corps referrals</t>
  </si>
  <si>
    <t>https://www.salvationarmyusa.org/usa-southern-territory/florida/utility-rent-assistance/</t>
  </si>
  <si>
    <t>Find local office</t>
  </si>
  <si>
    <t>Emergency rent/utility assistance varies by local corps and funding availability.</t>
  </si>
  <si>
    <t>Varies by local office/funding</t>
  </si>
  <si>
    <t>Medium</t>
  </si>
  <si>
    <t>salvation army,rent,utilities</t>
  </si>
  <si>
    <t>Catholic Charities / Faith-Based Emergency Aid</t>
  </si>
  <si>
    <t>Catholic Charities Diocese of Palm Beach</t>
  </si>
  <si>
    <t>Emergency financial/basic needs referrals where available</t>
  </si>
  <si>
    <t>https://www.ccdpb.org/</t>
  </si>
  <si>
    <t>Emergency financial assistance, referrals, case management or housing support where available; availability varies.</t>
  </si>
  <si>
    <t>catholic charities,rent,utilities,case management</t>
  </si>
  <si>
    <t>Community Action / Human Services</t>
  </si>
  <si>
    <t>Palm Beach County Community Action Program</t>
  </si>
  <si>
    <t>LIHEAP and community services; utility assistance portal</t>
  </si>
  <si>
    <t>https://discover.pbc.gov/communityservices/communityaction/Pages/default.aspx</t>
  </si>
  <si>
    <t>Community action/human services office for LIHEAP, CSBG, emergency assistance, family services or referrals.</t>
  </si>
  <si>
    <t>community action,human services,LIHEAP,CSBG</t>
  </si>
  <si>
    <t>HUD-Approved Housing Counseling</t>
  </si>
  <si>
    <t>HUD / CFPB Housing Counselor Locator</t>
  </si>
  <si>
    <t>Find HUD-approved housing counselors by ZIP code</t>
  </si>
  <si>
    <t>https://www.consumerfinance.gov/find-a-housing-counselor/</t>
  </si>
  <si>
    <t>800-569-4287</t>
  </si>
  <si>
    <t>Use HUD/CFPB counselor locator for rental counseling, default/foreclosure, budget and housing advice.</t>
  </si>
  <si>
    <t>Locator; counseling availability varies</t>
  </si>
  <si>
    <t>hud,housing counseling,rental counseling</t>
  </si>
  <si>
    <t>Court Self-Help / Tenant Forms</t>
  </si>
  <si>
    <t>Florida Courts / Florida Bar Landlord-Tenant Resources</t>
  </si>
  <si>
    <t>Landlord-tenant forms and self-help resources</t>
  </si>
  <si>
    <t>https://www.flcourts.gov/Courts-System/florida-courts-help/other-resources/landlord-tenant</t>
  </si>
  <si>
    <t>N/A</t>
  </si>
  <si>
    <t>Florida Courts and court/clerk resources for landlord-tenant forms and procedural guidance; not legal advice.</t>
  </si>
  <si>
    <t>Information/forms resource</t>
  </si>
  <si>
    <t>court,self-help,forms,landlord tenant</t>
  </si>
  <si>
    <t>Broward</t>
  </si>
  <si>
    <t>Broward County Housing Finance Division</t>
  </si>
  <si>
    <t>Housing / SHIP / affordable housing programs</t>
  </si>
  <si>
    <t>https://www.broward.org/Housing/Pages/Default.aspx</t>
  </si>
  <si>
    <t>Broward County SHIP Program</t>
  </si>
  <si>
    <t>SHIP housing strategies administered locally</t>
  </si>
  <si>
    <t>https://www.broward.org/Housing/Pages/StateHousingInitiativePartnership%28SHIP%29Program.aspx</t>
  </si>
  <si>
    <t>Broward Family Success Centers</t>
  </si>
  <si>
    <t>Emergency rent, mortgage and utility case management</t>
  </si>
  <si>
    <t>https://www.broward.org/FamilySuccess/Pages/FamilySuccessCenters.aspx</t>
  </si>
  <si>
    <t>954-357-5001</t>
  </si>
  <si>
    <t>Legal Aid Service of Broward County</t>
  </si>
  <si>
    <t>Eviction / tenant resources</t>
  </si>
  <si>
    <t>https://www.browardlegalaid.org/</t>
  </si>
  <si>
    <t>211 Broward</t>
  </si>
  <si>
    <t>24/7 human services and crisis referrals</t>
  </si>
  <si>
    <t>https://211-broward.org/</t>
  </si>
  <si>
    <t>Catholic Charities Archdiocese of Miami - Broward</t>
  </si>
  <si>
    <t>Emergency services and referrals</t>
  </si>
  <si>
    <t>https://www.ccadm.org/sh_projects/emergency-financial-assistance/</t>
  </si>
  <si>
    <t>Broward County Community Action Agency</t>
  </si>
  <si>
    <t>Community action / LIHEAP / CSBG support</t>
  </si>
  <si>
    <t>https://www.broward.org/FamilySuccess/Pages/Welcome.aspx</t>
  </si>
  <si>
    <t>954-357-5025</t>
  </si>
  <si>
    <t>Miami-Dade</t>
  </si>
  <si>
    <t>Miami-Dade Public Housing &amp; Community Development</t>
  </si>
  <si>
    <t>Housing and community development programs</t>
  </si>
  <si>
    <t>https://www.miamidade.gov/global/housing/home.page</t>
  </si>
  <si>
    <t>Miami-Dade SHIP Program</t>
  </si>
  <si>
    <t>Local SHIP funding for eligible housing strategies</t>
  </si>
  <si>
    <t>https://www.miamidade.gov/global/housing/ship-program.page</t>
  </si>
  <si>
    <t>Miami-Dade Emergency Rental Assistance Program</t>
  </si>
  <si>
    <t>Rental assistance if program is accepting applications</t>
  </si>
  <si>
    <t>https://www.miamidade.gov/global/housing/emergency-rental-assistance-program.page</t>
  </si>
  <si>
    <t>Legal Services of Greater Miami</t>
  </si>
  <si>
    <t>Tenant rights and housing legal help</t>
  </si>
  <si>
    <t>https://www.legalservicesmiami.org/self-help</t>
  </si>
  <si>
    <t>United Way Miami / 211 Miami</t>
  </si>
  <si>
    <t>Referrals to rent, utility and housing resources</t>
  </si>
  <si>
    <t>https://unitedwaymiami.org/211/</t>
  </si>
  <si>
    <t>Catholic Charities Archdiocese of Miami</t>
  </si>
  <si>
    <t>Emergency financial assistance / homelessness prevention</t>
  </si>
  <si>
    <t>Miami-Dade Community Action and Human Services</t>
  </si>
  <si>
    <t>Human services and emergency support programs</t>
  </si>
  <si>
    <t>https://www.miamidade.gov/global/service.page?Mduid_service=ser1519928774509949</t>
  </si>
  <si>
    <t>Hillsborough</t>
  </si>
  <si>
    <t>Hillsborough County Affordable Housing Services</t>
  </si>
  <si>
    <t>Affordable housing and grant-funded programs</t>
  </si>
  <si>
    <t>https://hcfl.gov/residents/human-services/affordable-housing-assistance</t>
  </si>
  <si>
    <t>Hillsborough County SHIP / Affordable Housing Funding</t>
  </si>
  <si>
    <t>SHIP funding source and local affordable housing strategies</t>
  </si>
  <si>
    <t>https://hcfl.gov/government/grants/affordable-housing-funding-sources</t>
  </si>
  <si>
    <t>Hillsborough County Social Services</t>
  </si>
  <si>
    <t>Financial assistance / homeless prevention referrals</t>
  </si>
  <si>
    <t>https://hcfl.gov/residents/social-services</t>
  </si>
  <si>
    <t>Bay Area Legal Services</t>
  </si>
  <si>
    <t>Housing and eviction legal aid</t>
  </si>
  <si>
    <t>https://bals.org/</t>
  </si>
  <si>
    <t>United Way Suncoast / 211 Tampa Bay</t>
  </si>
  <si>
    <t>211 referrals for Hillsborough-area basic needs</t>
  </si>
  <si>
    <t>https://unitedwaysuncoast.org/what-we-do/211/</t>
  </si>
  <si>
    <t>Catholic Charities Diocese of St. Petersburg - Hillsborough</t>
  </si>
  <si>
    <t>Rent and utility assistance when funding is available</t>
  </si>
  <si>
    <t>https://www.ccdosp.org/financial-assistance-hillsborough-county/</t>
  </si>
  <si>
    <t>Community and human services support</t>
  </si>
  <si>
    <t>Orange</t>
  </si>
  <si>
    <t>Orange County Housing and Community Development</t>
  </si>
  <si>
    <t>County housing assistance programs</t>
  </si>
  <si>
    <t>https://www.orangecountyfl.net/NeighborsHousing.aspx</t>
  </si>
  <si>
    <t>407-836-5150</t>
  </si>
  <si>
    <t>Orange County Down Payment / SHIP-related Assistance</t>
  </si>
  <si>
    <t>SHIP/local housing assistance; mostly homebuyer and preservation programs</t>
  </si>
  <si>
    <t>https://www.orangecountyfl.net/NeighborsHousing/HomebuyerDownPaymentAssistance.aspx</t>
  </si>
  <si>
    <t>Orange County Crisis Assistance Program</t>
  </si>
  <si>
    <t>Emergency rent/mortgage/utility support subject to eligibility/funding</t>
  </si>
  <si>
    <t>https://www.orangecountyfl.net/FamiliesHealthSocialSvcs/CrisisAssistanceProgram.aspx</t>
  </si>
  <si>
    <t>Community Legal Services of Mid-Florida</t>
  </si>
  <si>
    <t>https://www.legalaccessforall.org/</t>
  </si>
  <si>
    <t>Heart of Florida United Way 211</t>
  </si>
  <si>
    <t>24/7 referrals for financial assistance and social services</t>
  </si>
  <si>
    <t>https://www.hfuw.org/get-help/211-help/</t>
  </si>
  <si>
    <t>Catholic Charities of Central Florida</t>
  </si>
  <si>
    <t>Family Stability financial assistance</t>
  </si>
  <si>
    <t>https://cflcc.org/financial-assistance/</t>
  </si>
  <si>
    <t>407-658-1818</t>
  </si>
  <si>
    <t>Orange County Community Action Division</t>
  </si>
  <si>
    <t>Community action / family self-sufficiency / LIHEAP referrals</t>
  </si>
  <si>
    <t>https://www.orangecountyfl.net/FamiliesHealthSocialSvcs/CommunityActionDivision.aspx</t>
  </si>
  <si>
    <t>Pinellas</t>
  </si>
  <si>
    <t>Pinellas County Housing and Community Development</t>
  </si>
  <si>
    <t>County affordable housing programs</t>
  </si>
  <si>
    <t>https://pinellas.gov/department/housing-and-community-development/</t>
  </si>
  <si>
    <t>Pinellas County SHIP Program</t>
  </si>
  <si>
    <t>Annual SHIP allocation and funding availability notices</t>
  </si>
  <si>
    <t>https://pinellas.gov/programs/florida-state-housing-initiatives-partnership-program/</t>
  </si>
  <si>
    <t>Pinellas County Human Services</t>
  </si>
  <si>
    <t>Financial assistance / emergency services referrals</t>
  </si>
  <si>
    <t>https://pinellas.gov/department/human-services/</t>
  </si>
  <si>
    <t>Gulfcoast Legal Services</t>
  </si>
  <si>
    <t>https://gulfcoastlegal.org/</t>
  </si>
  <si>
    <t>211 Tampa Bay Cares</t>
  </si>
  <si>
    <t>211 referrals for Pinellas and Tampa Bay</t>
  </si>
  <si>
    <t>https://211tampabay.org/</t>
  </si>
  <si>
    <t>Catholic Charities Diocese of St. Petersburg - Pinellas</t>
  </si>
  <si>
    <t>Basic needs / housing support referrals</t>
  </si>
  <si>
    <t>https://www.ccdosp.org/</t>
  </si>
  <si>
    <t>Human services and emergency support</t>
  </si>
  <si>
    <t>Duval</t>
  </si>
  <si>
    <t>City of Jacksonville Housing and Community Development</t>
  </si>
  <si>
    <t>https://www.jacksonville.gov/departments/neighborhoods/housing-and-community-development-division</t>
  </si>
  <si>
    <t>Jacksonville / Duval SHIP Program</t>
  </si>
  <si>
    <t>SHIP may fund housing repairs, construction, down payment, gap financing and counseling</t>
  </si>
  <si>
    <t>https://dia.jacksonville.gov/doing-business-with-us/doing-business-with-dia/residential-incentives/state-housing-initiatives-partnership-%28ship%29</t>
  </si>
  <si>
    <t>City of Jacksonville Emergency Financial Assistance Program</t>
  </si>
  <si>
    <t>Temporary financial assistance to prevent eviction for nonpayment of rent/mortgage or utility interruption</t>
  </si>
  <si>
    <t>https://www.jacksonville.gov/departments/parks-and-recreation/social-services/emergency-financial-assistance-program</t>
  </si>
  <si>
    <t>Jacksonville Area Legal Aid</t>
  </si>
  <si>
    <t>Housing and eviction legal services</t>
  </si>
  <si>
    <t>https://www.jaxlegalaid.org/</t>
  </si>
  <si>
    <t>United Way of Northeast Florida 211</t>
  </si>
  <si>
    <t>Information/referral including rental assistance</t>
  </si>
  <si>
    <t>https://unitedwaynefl.org/get-help/211/</t>
  </si>
  <si>
    <t>211 or 904-632-0600</t>
  </si>
  <si>
    <t>Catholic Charities Jacksonville</t>
  </si>
  <si>
    <t>Emergency financial assistance for rent, mortgage, utilities or deposits via 211 referral</t>
  </si>
  <si>
    <t>https://www.ccbjax.org/emergency-financial-assistance</t>
  </si>
  <si>
    <t>211 / 904-632-0600</t>
  </si>
  <si>
    <t>Northeast Florida Community Action Agency</t>
  </si>
  <si>
    <t>Community action services in Duval and nearby counties</t>
  </si>
  <si>
    <t>https://nfcaa.net/</t>
  </si>
  <si>
    <t>Lee</t>
  </si>
  <si>
    <t>Lee County Human and Veteran Services</t>
  </si>
  <si>
    <t>Housing, human services and veteran programs</t>
  </si>
  <si>
    <t>https://www.leegov.com/dhs</t>
  </si>
  <si>
    <t>Lee County SHIP Program</t>
  </si>
  <si>
    <t>SHIP funding for affordable housing production/preservation and local programs</t>
  </si>
  <si>
    <t>https://www.leegov.com/dcd/Documents/Planning/Apps/StateHousingInitiativesPartnership.pdf</t>
  </si>
  <si>
    <t>Emergency assistance / housing stabilization referrals</t>
  </si>
  <si>
    <t>Florida Rural Legal Services</t>
  </si>
  <si>
    <t>Civil legal aid for low-income residents including housing</t>
  </si>
  <si>
    <t>https://www.frls.org/</t>
  </si>
  <si>
    <t>United Way of Lee, Hendry, and Glades 211</t>
  </si>
  <si>
    <t>211 referrals in Lee County</t>
  </si>
  <si>
    <t>https://www.unitedwaylee.org/211</t>
  </si>
  <si>
    <t>211 or 239-433-3900</t>
  </si>
  <si>
    <t>Catholic Charities Diocese of Venice</t>
  </si>
  <si>
    <t>Emergency financial assistance in Southwest Florida where available</t>
  </si>
  <si>
    <t>https://catholiccharitiesdov.org/housing-and-support-services</t>
  </si>
  <si>
    <t>Human services, veterans and housing support</t>
  </si>
  <si>
    <t>Polk</t>
  </si>
  <si>
    <t>Polk County Housing &amp; Neighborhood Development</t>
  </si>
  <si>
    <t>Housing services, CDBG/ESG/HOME and assistance portal</t>
  </si>
  <si>
    <t>https://www.polkfl.gov/services/housing-and-neighborhood-development/</t>
  </si>
  <si>
    <t>863-534-5240</t>
  </si>
  <si>
    <t>Polk County SHIP Housing Support</t>
  </si>
  <si>
    <t>SHIP funding for 2026-2027 housing assistance opportunities</t>
  </si>
  <si>
    <t>https://www.polkfl.gov/new-ship-funding-expands-housing-support-for-polk-county-residents/</t>
  </si>
  <si>
    <t>Polk County Emergency Solutions Grant Partners</t>
  </si>
  <si>
    <t>Homeless prevention / rapid rehousing through nonprofit partners</t>
  </si>
  <si>
    <t>Housing legal aid in Polk region</t>
  </si>
  <si>
    <t>United Way of Central Florida 211</t>
  </si>
  <si>
    <t>211 referrals for Polk, Hardee and Highlands</t>
  </si>
  <si>
    <t>https://uwcf.org/find-help/</t>
  </si>
  <si>
    <t>Family Stability financial assistance where available</t>
  </si>
  <si>
    <t>Neighborhood and housing services</t>
  </si>
  <si>
    <t>Pasco</t>
  </si>
  <si>
    <t>Pasco County Community Development</t>
  </si>
  <si>
    <t>Affordable housing, homeless initiatives and community partnerships</t>
  </si>
  <si>
    <t>https://www.pascocountyfl.gov/services/community_development/index.php</t>
  </si>
  <si>
    <t>Pasco County Down Payment Assistance / SHIP</t>
  </si>
  <si>
    <t>Income-eligible buyer assistance; SHIP-funded programs</t>
  </si>
  <si>
    <t>https://www.pascocountyfl.gov/services/community_development/programs/down_payment_assistance_program_%28dpa%29.php</t>
  </si>
  <si>
    <t>Homeless initiatives and housing support referrals</t>
  </si>
  <si>
    <t>Housing/eviction legal aid in Pasco region</t>
  </si>
  <si>
    <t>United Way / 211 Tampa Bay</t>
  </si>
  <si>
    <t>211 referrals for Pasco-area services</t>
  </si>
  <si>
    <t>Catholic Charities Diocese of St. Petersburg - Pasco</t>
  </si>
  <si>
    <t>Financial assistance/basic needs referrals where available</t>
  </si>
  <si>
    <t>Community development and housing support</t>
  </si>
  <si>
    <t>Volusia</t>
  </si>
  <si>
    <t>Volusia County Community Assistance - Housing</t>
  </si>
  <si>
    <t>Housing and community assistance programs</t>
  </si>
  <si>
    <t>https://www.volusia.org/services/community-services/community-assistance/housing/</t>
  </si>
  <si>
    <t>Volusia County SHIP Program</t>
  </si>
  <si>
    <t>SHIP strategies including repair, rehab, down payment and counseling</t>
  </si>
  <si>
    <t>https://www.volusia.org/services/community-services/community-assistance/housing/grants/state-housing-initiatives-program.stml</t>
  </si>
  <si>
    <t>Volusia County Community Assistance</t>
  </si>
  <si>
    <t>Community assistance, housing and disaster/housing support</t>
  </si>
  <si>
    <t>https://www.volusia.org/services/community-services/community-assistance/</t>
  </si>
  <si>
    <t>Housing/eviction legal aid</t>
  </si>
  <si>
    <t>211 Northeast Florida / Volusia referrals</t>
  </si>
  <si>
    <t>211 information and referrals</t>
  </si>
  <si>
    <t>https://www.211.org/about-us/your-local-211</t>
  </si>
  <si>
    <t>Family Stability support in Diocese of Orlando region</t>
  </si>
  <si>
    <t>Community services and housing assistance</t>
  </si>
  <si>
    <t>Seminole</t>
  </si>
  <si>
    <t>Seminole County Community Services / Community Development</t>
  </si>
  <si>
    <t>Community development and housing programs</t>
  </si>
  <si>
    <t>https://www.seminolecountyfl.gov/departments-services/community-services/community-development/community-development-programs</t>
  </si>
  <si>
    <t>Seminole County SHIP / Community Development Programs</t>
  </si>
  <si>
    <t>SHIP funds distributed to local governments for housing strategies</t>
  </si>
  <si>
    <t>Seminole County Community Assistance</t>
  </si>
  <si>
    <t>Emergency assistance and community services referrals</t>
  </si>
  <si>
    <t>https://www.seminolecountyfl.gov/departments-services/community-services/</t>
  </si>
  <si>
    <t>211 referrals for Central Florida</t>
  </si>
  <si>
    <t>Seminole County Community Services</t>
  </si>
  <si>
    <t>Community services and assistance referrals</t>
  </si>
  <si>
    <t>Brevard</t>
  </si>
  <si>
    <t>Brevard County Housing and Human Services</t>
  </si>
  <si>
    <t>Housing programs and purchase assistance</t>
  </si>
  <si>
    <t>https://www.brevardfl.gov/HousingAndHumanServices</t>
  </si>
  <si>
    <t>Brevard County Purchase Assistance / SHIP</t>
  </si>
  <si>
    <t>Very low/low/median income purchase assistance</t>
  </si>
  <si>
    <t>https://www.brevardfl.gov/HousingAndHumanServices/HousingPrograms/PurchaseAssistanceProgram</t>
  </si>
  <si>
    <t>Brevard County Community Action Agency</t>
  </si>
  <si>
    <t>Emergency mortgage/rental, utilities, medical/dental, prescription assistance</t>
  </si>
  <si>
    <t>https://www.brevardfl.gov/HousingAndHumanServices/CommunityActionAgency</t>
  </si>
  <si>
    <t>Brevard Legal Aid</t>
  </si>
  <si>
    <t>Civil legal help including housing matters</t>
  </si>
  <si>
    <t>https://brevardlegalaid.org/</t>
  </si>
  <si>
    <t>United Way of Brevard / 211</t>
  </si>
  <si>
    <t>Community referrals and human service navigation</t>
  </si>
  <si>
    <t>https://www.uwbrevard.org/</t>
  </si>
  <si>
    <t>Family Stability assistance where available</t>
  </si>
  <si>
    <t>Emergency services and financial assistance based on need</t>
  </si>
  <si>
    <t>Manatee</t>
  </si>
  <si>
    <t>Manatee County Community &amp; Veterans Services</t>
  </si>
  <si>
    <t>Community development and housing services</t>
  </si>
  <si>
    <t>https://www.mymanatee.org/departments/community_and_veterans_services</t>
  </si>
  <si>
    <t>Manatee County SHIP Down Payment Assistance</t>
  </si>
  <si>
    <t>SHIP-backed down payment assistance through certified lenders</t>
  </si>
  <si>
    <t>https://www.mymanatee.org/services-and-amenities/service-listing/service-details/downpayment-assistance-certified-lenders</t>
  </si>
  <si>
    <t>Human services and housing referrals</t>
  </si>
  <si>
    <t>Housing/eviction legal aid in Gulf Coast region</t>
  </si>
  <si>
    <t>United Way Suncoast / 211</t>
  </si>
  <si>
    <t>211 referrals for Manatee-area services</t>
  </si>
  <si>
    <t>Catholic Charities Diocese of Venice - Manatee</t>
  </si>
  <si>
    <t>Rental, mortgage and utility assistance when eligible/funded</t>
  </si>
  <si>
    <t>Manatee County Community Services</t>
  </si>
  <si>
    <t>Community services and veteran support</t>
  </si>
  <si>
    <t>Sarasota</t>
  </si>
  <si>
    <t>Sarasota Office of Housing and Community Development</t>
  </si>
  <si>
    <t>Housing programs for Sarasota city/county</t>
  </si>
  <si>
    <t>https://www.sarasotafl.gov/Department-Pages/Office-of-Housing-and-Community-Development</t>
  </si>
  <si>
    <t>941-263-6340</t>
  </si>
  <si>
    <t>Sarasota County SHIP / HERO</t>
  </si>
  <si>
    <t>SHIP Local Housing Assistance Plan and funding notices</t>
  </si>
  <si>
    <t>https://www.herosrq.net/ship-lhap</t>
  </si>
  <si>
    <t>Sarasota County Health and Human Services</t>
  </si>
  <si>
    <t>Human services and assistance referrals</t>
  </si>
  <si>
    <t>https://www.scgov.net/government/health-and-human-services</t>
  </si>
  <si>
    <t>211 referrals for Sarasota area</t>
  </si>
  <si>
    <t>Catholic Charities Diocese of Venice - Sarasota</t>
  </si>
  <si>
    <t>Housing and support services / emergency financial assistance</t>
  </si>
  <si>
    <t>Human services and assistance navigation</t>
  </si>
  <si>
    <t>Collier</t>
  </si>
  <si>
    <t>Collier County Community and Human Services</t>
  </si>
  <si>
    <t>Housing programs including community assistance</t>
  </si>
  <si>
    <t>https://www.collier.gov/Resident-Resources/Community-and-Human-Services-Division/Housing-Programs</t>
  </si>
  <si>
    <t>Collier County SHIP Homebuyer Assistance</t>
  </si>
  <si>
    <t>SHIP funds for eligible down payment/closing cost assistance</t>
  </si>
  <si>
    <t>https://www.collier.gov/Resident-Resources/Community-and-Human-Services-Division/Housing-Programs/Homebuyers</t>
  </si>
  <si>
    <t>Collier County Community Assistance Programs</t>
  </si>
  <si>
    <t>Tenant-based rental assistance, deposits and housing-related support where available</t>
  </si>
  <si>
    <t>https://www.colliercountyhousing.com/collier-community-assistance-programs/</t>
  </si>
  <si>
    <t>Legal Aid Service of Collier County</t>
  </si>
  <si>
    <t>Housing and civil legal aid</t>
  </si>
  <si>
    <t>https://www.collierlegalaid.org/</t>
  </si>
  <si>
    <t>United Way of Collier and the Keys / 211</t>
  </si>
  <si>
    <t>Community referrals and resource navigation</t>
  </si>
  <si>
    <t>https://www.uwcollierkeys.org/</t>
  </si>
  <si>
    <t>Catholic Charities Diocese of Venice - Collier</t>
  </si>
  <si>
    <t>Housing and support services in Southwest Florida</t>
  </si>
  <si>
    <t>Community/housing support services</t>
  </si>
  <si>
    <t>https://www.collier.gov/Resident-Resources/Community-and-Human-Services-Division</t>
  </si>
  <si>
    <t>St. Lucie</t>
  </si>
  <si>
    <t>St. Lucie County Community Services - Housing</t>
  </si>
  <si>
    <t>County housing and community services</t>
  </si>
  <si>
    <t>https://www.stlucieco.gov/departments-and-services/community-services/housing</t>
  </si>
  <si>
    <t>St. Lucie County / Port St. Lucie SHIP</t>
  </si>
  <si>
    <t>SHIP housing programs including repair and senior rental assistance in PSL</t>
  </si>
  <si>
    <t>https://www.cityofpsl.com/Government/Your-City-Government/Departments/Neighborhood-Services/Community-Programs/Housing-Programs</t>
  </si>
  <si>
    <t>City of Port St. Lucie Housing Programs</t>
  </si>
  <si>
    <t>Rental Assistance for Seniors and housing programs</t>
  </si>
  <si>
    <t>Civil legal aid including housing</t>
  </si>
  <si>
    <t>211 referrals for Treasure Coast services</t>
  </si>
  <si>
    <t>Catholic Charities Diocese of Palm Beach / Treasure Coast</t>
  </si>
  <si>
    <t>Emergency/basic needs referrals where available</t>
  </si>
  <si>
    <t>St. Lucie County Community Services</t>
  </si>
  <si>
    <t>Community services and housing programs</t>
  </si>
  <si>
    <t>https://www.stlucieco.gov/departments-and-services/community-services</t>
  </si>
  <si>
    <t>Martin</t>
  </si>
  <si>
    <t>Martin County Housing Program</t>
  </si>
  <si>
    <t>Housing needs for low/moderate-income households</t>
  </si>
  <si>
    <t>https://www.martin.fl.us/HousingProgram</t>
  </si>
  <si>
    <t>772-288-5456</t>
  </si>
  <si>
    <t>Martin County SHIP Program</t>
  </si>
  <si>
    <t>Online application portal and SHIP assistance</t>
  </si>
  <si>
    <t>https://www.martin.fl.us/SHIP</t>
  </si>
  <si>
    <t>Martin County Human Services</t>
  </si>
  <si>
    <t>Human services/housing assistance referrals</t>
  </si>
  <si>
    <t>https://www.martin.fl.us/HumanServices</t>
  </si>
  <si>
    <t>211 referrals for Martin County/Treasure Coast</t>
  </si>
  <si>
    <t>Community/human services support</t>
  </si>
  <si>
    <t>Osceola</t>
  </si>
  <si>
    <t>Osceola County Housing and Community Services</t>
  </si>
  <si>
    <t>County housing programs and services</t>
  </si>
  <si>
    <t>https://www.osceola.org/Services/Housing-Programs</t>
  </si>
  <si>
    <t>407-742-2ASK</t>
  </si>
  <si>
    <t>Osceola County SHIP Program</t>
  </si>
  <si>
    <t>SHIP housing assistance; online/contact information</t>
  </si>
  <si>
    <t>https://www.osceola.org/Services/Housing-Programs/SHIP</t>
  </si>
  <si>
    <t>Osceola County Human Services</t>
  </si>
  <si>
    <t>Human services and emergency assistance referrals</t>
  </si>
  <si>
    <t>https://www.osceola.org/Services/Human-Services</t>
  </si>
  <si>
    <t>407-742-8400</t>
  </si>
  <si>
    <t>Community/human services assistance</t>
  </si>
  <si>
    <t>Lake</t>
  </si>
  <si>
    <t>Lake County Office of Housing and Community Services</t>
  </si>
  <si>
    <t>Housing and community services</t>
  </si>
  <si>
    <t>https://lakecountyfl.gov/housing</t>
  </si>
  <si>
    <t>Lake County SHIP Home Ownership Assistance</t>
  </si>
  <si>
    <t>SHIP home ownership and foreclosure prevention programs</t>
  </si>
  <si>
    <t>https://lakecountyfl.gov/housing/home-ownership-assistance</t>
  </si>
  <si>
    <t>Lake County Community Services</t>
  </si>
  <si>
    <t>https://lakecountyfl.gov/community-services</t>
  </si>
  <si>
    <t>United Way of Lake and Sumter Counties / 211</t>
  </si>
  <si>
    <t>211 referrals and community navigation</t>
  </si>
  <si>
    <t>https://uwls.org/</t>
  </si>
  <si>
    <t>Community services support</t>
  </si>
  <si>
    <t>Florida Eviction Support Resource Database</t>
  </si>
  <si>
    <t>Purpose</t>
  </si>
  <si>
    <t>200 verified resource entries for 20 Florida counties, built for a $395 emergency housing / eviction-support action plan product.</t>
  </si>
  <si>
    <t>Important Use Note</t>
  </si>
  <si>
    <t>Program funding, intake windows, application portals, and eligibility rules change frequently. Each customer report should re-check high-priority resources before delivery.</t>
  </si>
  <si>
    <t>Verification Date</t>
  </si>
  <si>
    <t>County Count</t>
  </si>
  <si>
    <t>Resource Rows</t>
  </si>
  <si>
    <t>Core Categories</t>
  </si>
  <si>
    <t>County Housing Department; SHIP Program; Emergency Rental/Housing Assistance; Legal Aid/Eviction Defense; United Way/211; Salvation Army; Catholic Charities; Community Action/Human Services; HUD Housing Counseling; Court Self-Help/Tenant Forms</t>
  </si>
  <si>
    <t>Compliance Language</t>
  </si>
  <si>
    <t>Not legal advice. Not a law firm. No guarantee that eviction will be stopped, delayed, dismissed, or resolved.</t>
  </si>
  <si>
    <t>Rule Name</t>
  </si>
  <si>
    <t>Condition</t>
  </si>
  <si>
    <t>Prioritize Categories</t>
  </si>
  <si>
    <t>Output Guidance</t>
  </si>
  <si>
    <t>Critical Court Date</t>
  </si>
  <si>
    <t>Court date within 7 days or judgment/lockout notice</t>
  </si>
  <si>
    <t>Legal Aid / Eviction Defense; Court Self-Help / Tenant Forms; Emergency Rental / Housing Assistance; United Way / 211</t>
  </si>
  <si>
    <t>Tell customer to contact legal aid/court resources immediately and gather all notices, lease, ledger, and proof of assistance applications.</t>
  </si>
  <si>
    <t>No Court Yet, Notice Received</t>
  </si>
  <si>
    <t>3-day/pay-or-quit/notice received but no summons</t>
  </si>
  <si>
    <t>Emergency Rental / Housing Assistance; United Way / 211; Legal Aid / Eviction Defense; Landlord Communication Template</t>
  </si>
  <si>
    <t>Apply to assistance programs, send landlord communication, document application status, and prepare if case is filed.</t>
  </si>
  <si>
    <t>Behind on Rent, No Notice</t>
  </si>
  <si>
    <t>Past-due rent but no formal notice</t>
  </si>
  <si>
    <t>United Way / 211; Emergency Rental / Housing Assistance; Community Action / Human Services; Catholic Charities / Faith-Based Emergency Aid</t>
  </si>
  <si>
    <t>Focus on payment support, document gathering, and early landlord negotiation.</t>
  </si>
  <si>
    <t>Veteran Household</t>
  </si>
  <si>
    <t>Veteran = Yes</t>
  </si>
  <si>
    <t>County Housing Department; Community Action / Human Services; United Way / 211</t>
  </si>
  <si>
    <t>Add veteran-specific resource search and VA/SSVF provider lookup during manual review.</t>
  </si>
  <si>
    <t>Disabled/Senior Household</t>
  </si>
  <si>
    <t>Disabled or senior person in home</t>
  </si>
  <si>
    <t>County Housing Department; Community Action / Human Services; HUD-Approved Housing Counseling</t>
  </si>
  <si>
    <t>Add disability/senior programs and reasonable accommodation prompts where applicable.</t>
  </si>
  <si>
    <t>Children in Home</t>
  </si>
  <si>
    <t>Children in household = Yes</t>
  </si>
  <si>
    <t>United Way / 211; Catholic Charities / Faith-Based Emergency Aid; Emergency Rental / Housing Assistance</t>
  </si>
  <si>
    <t>Prioritize family-stability and homeless-prevention resources.</t>
  </si>
  <si>
    <t>SHIP Not Rent-Focused</t>
  </si>
  <si>
    <t>Resource Category = SHIP Program</t>
  </si>
  <si>
    <t>County Housing Department; SHIP Program</t>
  </si>
  <si>
    <t>Flag SHIP as housing funding that may not be direct rental assistance; verify active strategies before mentioning rent relief.</t>
  </si>
  <si>
    <t>Funding Status Varies</t>
  </si>
  <si>
    <t>Any resource marked funding/appointments may open and close</t>
  </si>
  <si>
    <t>Emergency Rental / Housing Assistance; Salvation Army; Catholic Charities; Community Action / Human Services</t>
  </si>
  <si>
    <t>Manual verification required before customer-facing report.</t>
  </si>
  <si>
    <t>Field</t>
  </si>
  <si>
    <t>Type</t>
  </si>
  <si>
    <t>Required</t>
  </si>
  <si>
    <t>Used For</t>
  </si>
  <si>
    <t>First Name</t>
  </si>
  <si>
    <t>Text</t>
  </si>
  <si>
    <t>Yes</t>
  </si>
  <si>
    <t>Customer profile/report</t>
  </si>
  <si>
    <t>Last Name</t>
  </si>
  <si>
    <t>Email</t>
  </si>
  <si>
    <t>Delivery/login</t>
  </si>
  <si>
    <t>Urgent follow-up/SMS</t>
  </si>
  <si>
    <t>Dropdown</t>
  </si>
  <si>
    <t>County resource matching</t>
  </si>
  <si>
    <t>State</t>
  </si>
  <si>
    <t>Expansion logic</t>
  </si>
  <si>
    <t>ZIP Code</t>
  </si>
  <si>
    <t>HUD counselor/211/agency lookup</t>
  </si>
  <si>
    <t>Amount of Rent Owed</t>
  </si>
  <si>
    <t>Currency</t>
  </si>
  <si>
    <t>Urgency and assistance fit</t>
  </si>
  <si>
    <t>Monthly Rent</t>
  </si>
  <si>
    <t>Rent burden/context</t>
  </si>
  <si>
    <t>Months Behind</t>
  </si>
  <si>
    <t>Number</t>
  </si>
  <si>
    <t>Urgency and documents</t>
  </si>
  <si>
    <t>Notice Received</t>
  </si>
  <si>
    <t>Urgency scoring</t>
  </si>
  <si>
    <t>Notice Type</t>
  </si>
  <si>
    <t>Court Date</t>
  </si>
  <si>
    <t>Date</t>
  </si>
  <si>
    <t>Conditional</t>
  </si>
  <si>
    <t>Case Number</t>
  </si>
  <si>
    <t>No</t>
  </si>
  <si>
    <t>Court/legal aid prep</t>
  </si>
  <si>
    <t>Household Size</t>
  </si>
  <si>
    <t>Income eligibility context</t>
  </si>
  <si>
    <t>Monthly Household Income</t>
  </si>
  <si>
    <t>Eligibility context</t>
  </si>
  <si>
    <t>Yes/No</t>
  </si>
  <si>
    <t>Priority resource matching</t>
  </si>
  <si>
    <t>Senior in Home</t>
  </si>
  <si>
    <t>Disabled Person in Home</t>
  </si>
  <si>
    <t>Veteran</t>
  </si>
  <si>
    <t>Hardship Reason</t>
  </si>
  <si>
    <t>Multi-select</t>
  </si>
  <si>
    <t>Landlord letter/application context</t>
  </si>
  <si>
    <t>Documents Uploaded</t>
  </si>
  <si>
    <t>File upload</t>
  </si>
  <si>
    <t>Fulfillment review</t>
  </si>
  <si>
    <t>Source</t>
  </si>
  <si>
    <t>URL</t>
  </si>
  <si>
    <t>Why It Matters</t>
  </si>
  <si>
    <t>Florida Housing SHIP Overview</t>
  </si>
  <si>
    <t>https://www.floridahousing.org/programs/special-programs/ship---state-housing-initiatives-partnership-program</t>
  </si>
  <si>
    <t>Confirms SHIP structure and distribution to all 67 counties.</t>
  </si>
  <si>
    <t>Florida Housing SHIP Local Government Info</t>
  </si>
  <si>
    <t>https://www.floridahousing.org/programs/special-programs/ship---state-housing-initiatives-partnership-program/local-government-information</t>
  </si>
  <si>
    <t>Local SHIP contacts/program navigation.</t>
  </si>
  <si>
    <t>United Way 211 Locator</t>
  </si>
  <si>
    <t>National/local 211 service lookup.</t>
  </si>
  <si>
    <t>Funding Florida Legal Aid Directory</t>
  </si>
  <si>
    <t>https://fundingfla.org/florida-legal-aid-programs/</t>
  </si>
  <si>
    <t>Legal aid program directory.</t>
  </si>
  <si>
    <t>Florida Law Help</t>
  </si>
  <si>
    <t>https://www.floridalawhelp.org/</t>
  </si>
  <si>
    <t>Tenant/eviction legal information and directory.</t>
  </si>
  <si>
    <t>Florida Courts Landlord/Tenant Resources</t>
  </si>
  <si>
    <t>Court self-help and landlord-tenant resource hub.</t>
  </si>
  <si>
    <t>Florida Legal Services Eviction Prevention</t>
  </si>
  <si>
    <t>https://www.floridalegal.org/eviction-prevention</t>
  </si>
  <si>
    <t>Eviction prevention helpline/resource.</t>
  </si>
  <si>
    <t>Salvation Army Florida Rent/Utility Assistance</t>
  </si>
  <si>
    <t>Rent/utility assistance locator for Florida.</t>
  </si>
  <si>
    <t>CFPB Housing Counselor Locator</t>
  </si>
  <si>
    <t>HUD-approved housing counselor lookup.</t>
  </si>
  <si>
    <t>HUD Florida Housing Resources</t>
  </si>
  <si>
    <t>https://www.hud.gov/states/florida</t>
  </si>
  <si>
    <t>HUD housing counselor and rent/bill help references.</t>
  </si>
  <si>
    <t>Florida Community Action Association</t>
  </si>
  <si>
    <t>https://faca.org/florida-community-action-agency-programs/</t>
  </si>
  <si>
    <t>Community action agency service context.</t>
  </si>
  <si>
    <t>FDACS Landlord-Tenant Law</t>
  </si>
  <si>
    <t>https://www.fdacs.gov/Consumer-resources/landlord-tenant-law-in-florida</t>
  </si>
  <si>
    <t>State consumer resource for landlord-tenant basics.</t>
  </si>
  <si>
    <t>Metric</t>
  </si>
  <si>
    <t>Value</t>
  </si>
  <si>
    <t>Counties Covered</t>
  </si>
  <si>
    <t>Total Resource Rows</t>
  </si>
  <si>
    <t>Core Priority Rows</t>
  </si>
  <si>
    <t>High Priority Rows</t>
  </si>
  <si>
    <t>Medium Priority Rows</t>
  </si>
  <si>
    <t>Last Verified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</si>
</sst>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rifiedResourceTable" displayName="VerifiedResourceTable" ref="A1:N201">
  <tableColumns count="14">
    <tableColumn id="1" xr3:uid="{00000000-0010-0000-0000-000001000000}" name="County"/>
    <tableColumn id="2" xr3:uid="{00000000-0010-0000-0000-000002000000}" name="Resource Category"/>
    <tableColumn id="3" xr3:uid="{00000000-0010-0000-0000-000003000000}" name="Organization"/>
    <tableColumn id="4" xr3:uid="{00000000-0010-0000-0000-000004000000}" name="Program / Service"/>
    <tableColumn id="5" xr3:uid="{00000000-0010-0000-0000-000005000000}" name="Website"/>
    <tableColumn id="6" xr3:uid="{00000000-0010-0000-0000-000006000000}" name="Phone"/>
    <tableColumn id="7" xr3:uid="{00000000-0010-0000-0000-000007000000}" name="Application / Intake URL"/>
    <tableColumn id="8" xr3:uid="{00000000-0010-0000-0000-000008000000}" name="Eligibility / Use Notes"/>
    <tableColumn id="9" xr3:uid="{00000000-0010-0000-0000-000009000000}" name="Funding Status"/>
    <tableColumn id="10" xr3:uid="{00000000-0010-0000-0000-00000A000000}" name="Verification Source URL"/>
    <tableColumn id="11" xr3:uid="{00000000-0010-0000-0000-00000B000000}" name="Verified Date"/>
    <tableColumn id="12" xr3:uid="{00000000-0010-0000-0000-00000C000000}" name="Priority"/>
    <tableColumn id="13" xr3:uid="{00000000-0010-0000-0000-00000D000000}" name="Match Tags"/>
    <tableColumn id="14" xr3:uid="{00000000-0010-0000-0000-00000E000000}" name="Internal QA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topLeftCell="A2" workbookViewId="0">
      <selection activeCell="E2" sqref="E2"/>
    </sheetView>
  </sheetViews>
  <sheetFormatPr defaultRowHeight="14.25"/>
  <cols>
    <col min="1" max="1" width="14" customWidth="1"/>
    <col min="2" max="2" width="26" customWidth="1"/>
    <col min="3" max="3" width="34" customWidth="1"/>
    <col min="4" max="4" width="42" customWidth="1"/>
    <col min="5" max="7" width="36" customWidth="1"/>
    <col min="8" max="10" width="45" customWidth="1"/>
    <col min="11" max="11" width="14" customWidth="1"/>
    <col min="12" max="12" width="12" customWidth="1"/>
    <col min="13" max="14" width="35" customWidth="1"/>
  </cols>
  <sheetData>
    <row r="1" spans="1:14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42.7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18</v>
      </c>
      <c r="H2" s="5" t="s">
        <v>20</v>
      </c>
      <c r="I2" s="5" t="s">
        <v>21</v>
      </c>
      <c r="J2" s="5" t="s">
        <v>18</v>
      </c>
      <c r="K2" s="5" t="s">
        <v>22</v>
      </c>
      <c r="L2" s="5" t="s">
        <v>23</v>
      </c>
      <c r="M2" s="5" t="s">
        <v>24</v>
      </c>
      <c r="N2" s="5" t="s">
        <v>25</v>
      </c>
    </row>
    <row r="3" spans="1:14" ht="42.75">
      <c r="A3" s="5" t="s">
        <v>14</v>
      </c>
      <c r="B3" s="5" t="s">
        <v>26</v>
      </c>
      <c r="C3" s="5" t="s">
        <v>27</v>
      </c>
      <c r="D3" s="5" t="s">
        <v>28</v>
      </c>
      <c r="E3" s="5" t="s">
        <v>18</v>
      </c>
      <c r="F3" s="5" t="s">
        <v>19</v>
      </c>
      <c r="G3" s="5" t="s">
        <v>18</v>
      </c>
      <c r="H3" s="5" t="s">
        <v>29</v>
      </c>
      <c r="I3" s="5" t="s">
        <v>30</v>
      </c>
      <c r="J3" s="5" t="s">
        <v>18</v>
      </c>
      <c r="K3" s="5" t="s">
        <v>22</v>
      </c>
      <c r="L3" s="5" t="s">
        <v>23</v>
      </c>
      <c r="M3" s="5" t="s">
        <v>31</v>
      </c>
      <c r="N3" s="5" t="s">
        <v>25</v>
      </c>
    </row>
    <row r="4" spans="1:14" ht="42.75">
      <c r="A4" s="5" t="s">
        <v>14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35</v>
      </c>
      <c r="H4" s="5" t="s">
        <v>37</v>
      </c>
      <c r="I4" s="5" t="s">
        <v>38</v>
      </c>
      <c r="J4" s="5" t="s">
        <v>35</v>
      </c>
      <c r="K4" s="5" t="s">
        <v>22</v>
      </c>
      <c r="L4" s="5" t="s">
        <v>39</v>
      </c>
      <c r="M4" s="5" t="s">
        <v>40</v>
      </c>
      <c r="N4" s="5" t="s">
        <v>25</v>
      </c>
    </row>
    <row r="5" spans="1:14" ht="42.75">
      <c r="A5" s="5" t="s">
        <v>14</v>
      </c>
      <c r="B5" s="5" t="s">
        <v>41</v>
      </c>
      <c r="C5" s="5" t="s">
        <v>42</v>
      </c>
      <c r="D5" s="5" t="s">
        <v>43</v>
      </c>
      <c r="E5" s="5" t="s">
        <v>44</v>
      </c>
      <c r="F5" s="5" t="s">
        <v>19</v>
      </c>
      <c r="G5" s="5" t="s">
        <v>44</v>
      </c>
      <c r="H5" s="5" t="s">
        <v>45</v>
      </c>
      <c r="I5" s="5" t="s">
        <v>21</v>
      </c>
      <c r="J5" s="5" t="s">
        <v>44</v>
      </c>
      <c r="K5" s="5" t="s">
        <v>22</v>
      </c>
      <c r="L5" s="5" t="s">
        <v>39</v>
      </c>
      <c r="M5" s="5" t="s">
        <v>46</v>
      </c>
      <c r="N5" s="5" t="s">
        <v>25</v>
      </c>
    </row>
    <row r="6" spans="1:14" ht="42.75">
      <c r="A6" s="5" t="s">
        <v>14</v>
      </c>
      <c r="B6" s="5" t="s">
        <v>47</v>
      </c>
      <c r="C6" s="5" t="s">
        <v>48</v>
      </c>
      <c r="D6" s="5" t="s">
        <v>49</v>
      </c>
      <c r="E6" s="5" t="s">
        <v>50</v>
      </c>
      <c r="F6" s="5" t="s">
        <v>51</v>
      </c>
      <c r="G6" s="5" t="s">
        <v>50</v>
      </c>
      <c r="H6" s="5" t="s">
        <v>52</v>
      </c>
      <c r="I6" s="5" t="s">
        <v>21</v>
      </c>
      <c r="J6" s="5" t="s">
        <v>50</v>
      </c>
      <c r="K6" s="5" t="s">
        <v>22</v>
      </c>
      <c r="L6" s="5" t="s">
        <v>39</v>
      </c>
      <c r="M6" s="5" t="s">
        <v>53</v>
      </c>
      <c r="N6" s="5" t="s">
        <v>25</v>
      </c>
    </row>
    <row r="7" spans="1:14" ht="42.75">
      <c r="A7" s="5" t="s">
        <v>14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57</v>
      </c>
      <c r="H7" s="5" t="s">
        <v>59</v>
      </c>
      <c r="I7" s="5" t="s">
        <v>60</v>
      </c>
      <c r="J7" s="5" t="s">
        <v>57</v>
      </c>
      <c r="K7" s="5" t="s">
        <v>22</v>
      </c>
      <c r="L7" s="5" t="s">
        <v>61</v>
      </c>
      <c r="M7" s="5" t="s">
        <v>62</v>
      </c>
      <c r="N7" s="5" t="s">
        <v>25</v>
      </c>
    </row>
    <row r="8" spans="1:14" ht="42.75">
      <c r="A8" s="5" t="s">
        <v>14</v>
      </c>
      <c r="B8" s="5" t="s">
        <v>63</v>
      </c>
      <c r="C8" s="5" t="s">
        <v>64</v>
      </c>
      <c r="D8" s="5" t="s">
        <v>65</v>
      </c>
      <c r="E8" s="5" t="s">
        <v>66</v>
      </c>
      <c r="F8" s="5" t="s">
        <v>19</v>
      </c>
      <c r="G8" s="5" t="s">
        <v>66</v>
      </c>
      <c r="H8" s="5" t="s">
        <v>67</v>
      </c>
      <c r="I8" s="5" t="s">
        <v>38</v>
      </c>
      <c r="J8" s="5" t="s">
        <v>66</v>
      </c>
      <c r="K8" s="5" t="s">
        <v>22</v>
      </c>
      <c r="L8" s="5" t="s">
        <v>61</v>
      </c>
      <c r="M8" s="5" t="s">
        <v>68</v>
      </c>
      <c r="N8" s="5" t="s">
        <v>25</v>
      </c>
    </row>
    <row r="9" spans="1:14" ht="42.75">
      <c r="A9" s="5" t="s">
        <v>14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36</v>
      </c>
      <c r="G9" s="5" t="s">
        <v>72</v>
      </c>
      <c r="H9" s="5" t="s">
        <v>73</v>
      </c>
      <c r="I9" s="5" t="s">
        <v>38</v>
      </c>
      <c r="J9" s="5" t="s">
        <v>72</v>
      </c>
      <c r="K9" s="5" t="s">
        <v>22</v>
      </c>
      <c r="L9" s="5" t="s">
        <v>61</v>
      </c>
      <c r="M9" s="5" t="s">
        <v>74</v>
      </c>
      <c r="N9" s="5" t="s">
        <v>25</v>
      </c>
    </row>
    <row r="10" spans="1:14" ht="42.75">
      <c r="A10" s="5" t="s">
        <v>14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79</v>
      </c>
      <c r="G10" s="5" t="s">
        <v>78</v>
      </c>
      <c r="H10" s="5" t="s">
        <v>80</v>
      </c>
      <c r="I10" s="5" t="s">
        <v>81</v>
      </c>
      <c r="J10" s="5" t="s">
        <v>78</v>
      </c>
      <c r="K10" s="5" t="s">
        <v>22</v>
      </c>
      <c r="L10" s="5" t="s">
        <v>61</v>
      </c>
      <c r="M10" s="5" t="s">
        <v>82</v>
      </c>
      <c r="N10" s="5" t="s">
        <v>25</v>
      </c>
    </row>
    <row r="11" spans="1:14" ht="42.75">
      <c r="A11" s="5" t="s">
        <v>14</v>
      </c>
      <c r="B11" s="5" t="s">
        <v>83</v>
      </c>
      <c r="C11" s="5" t="s">
        <v>84</v>
      </c>
      <c r="D11" s="5" t="s">
        <v>85</v>
      </c>
      <c r="E11" s="5" t="s">
        <v>86</v>
      </c>
      <c r="F11" s="5" t="s">
        <v>87</v>
      </c>
      <c r="G11" s="5" t="s">
        <v>86</v>
      </c>
      <c r="H11" s="5" t="s">
        <v>88</v>
      </c>
      <c r="I11" s="5" t="s">
        <v>89</v>
      </c>
      <c r="J11" s="5" t="s">
        <v>86</v>
      </c>
      <c r="K11" s="5" t="s">
        <v>22</v>
      </c>
      <c r="L11" s="5" t="s">
        <v>39</v>
      </c>
      <c r="M11" s="5" t="s">
        <v>90</v>
      </c>
      <c r="N11" s="5" t="s">
        <v>25</v>
      </c>
    </row>
    <row r="12" spans="1:14" ht="42.75">
      <c r="A12" s="5" t="s">
        <v>91</v>
      </c>
      <c r="B12" s="5" t="s">
        <v>15</v>
      </c>
      <c r="C12" s="5" t="s">
        <v>92</v>
      </c>
      <c r="D12" s="5" t="s">
        <v>93</v>
      </c>
      <c r="E12" s="5" t="s">
        <v>94</v>
      </c>
      <c r="F12" s="5" t="s">
        <v>19</v>
      </c>
      <c r="G12" s="5" t="s">
        <v>94</v>
      </c>
      <c r="H12" s="5" t="s">
        <v>20</v>
      </c>
      <c r="I12" s="5" t="s">
        <v>21</v>
      </c>
      <c r="J12" s="5" t="s">
        <v>94</v>
      </c>
      <c r="K12" s="5" t="s">
        <v>22</v>
      </c>
      <c r="L12" s="5" t="s">
        <v>23</v>
      </c>
      <c r="M12" s="5" t="s">
        <v>24</v>
      </c>
      <c r="N12" s="5" t="s">
        <v>25</v>
      </c>
    </row>
    <row r="13" spans="1:14" ht="42.75">
      <c r="A13" s="5" t="s">
        <v>91</v>
      </c>
      <c r="B13" s="5" t="s">
        <v>26</v>
      </c>
      <c r="C13" s="5" t="s">
        <v>95</v>
      </c>
      <c r="D13" s="5" t="s">
        <v>96</v>
      </c>
      <c r="E13" s="5" t="s">
        <v>97</v>
      </c>
      <c r="F13" s="5" t="s">
        <v>19</v>
      </c>
      <c r="G13" s="5" t="s">
        <v>97</v>
      </c>
      <c r="H13" s="5" t="s">
        <v>29</v>
      </c>
      <c r="I13" s="5" t="s">
        <v>30</v>
      </c>
      <c r="J13" s="5" t="s">
        <v>97</v>
      </c>
      <c r="K13" s="5" t="s">
        <v>22</v>
      </c>
      <c r="L13" s="5" t="s">
        <v>23</v>
      </c>
      <c r="M13" s="5" t="s">
        <v>31</v>
      </c>
      <c r="N13" s="5" t="s">
        <v>25</v>
      </c>
    </row>
    <row r="14" spans="1:14" ht="42.75">
      <c r="A14" s="5" t="s">
        <v>91</v>
      </c>
      <c r="B14" s="5" t="s">
        <v>32</v>
      </c>
      <c r="C14" s="5" t="s">
        <v>98</v>
      </c>
      <c r="D14" s="5" t="s">
        <v>99</v>
      </c>
      <c r="E14" s="5" t="s">
        <v>100</v>
      </c>
      <c r="F14" s="5" t="s">
        <v>101</v>
      </c>
      <c r="G14" s="5" t="s">
        <v>100</v>
      </c>
      <c r="H14" s="5" t="s">
        <v>37</v>
      </c>
      <c r="I14" s="5" t="s">
        <v>38</v>
      </c>
      <c r="J14" s="5" t="s">
        <v>100</v>
      </c>
      <c r="K14" s="5" t="s">
        <v>22</v>
      </c>
      <c r="L14" s="5" t="s">
        <v>39</v>
      </c>
      <c r="M14" s="5" t="s">
        <v>40</v>
      </c>
      <c r="N14" s="5" t="s">
        <v>25</v>
      </c>
    </row>
    <row r="15" spans="1:14" ht="42.75">
      <c r="A15" s="5" t="s">
        <v>91</v>
      </c>
      <c r="B15" s="5" t="s">
        <v>41</v>
      </c>
      <c r="C15" s="5" t="s">
        <v>102</v>
      </c>
      <c r="D15" s="5" t="s">
        <v>103</v>
      </c>
      <c r="E15" s="5" t="s">
        <v>104</v>
      </c>
      <c r="F15" s="5" t="s">
        <v>19</v>
      </c>
      <c r="G15" s="5" t="s">
        <v>104</v>
      </c>
      <c r="H15" s="5" t="s">
        <v>45</v>
      </c>
      <c r="I15" s="5" t="s">
        <v>21</v>
      </c>
      <c r="J15" s="5" t="s">
        <v>104</v>
      </c>
      <c r="K15" s="5" t="s">
        <v>22</v>
      </c>
      <c r="L15" s="5" t="s">
        <v>39</v>
      </c>
      <c r="M15" s="5" t="s">
        <v>46</v>
      </c>
      <c r="N15" s="5" t="s">
        <v>25</v>
      </c>
    </row>
    <row r="16" spans="1:14" ht="42.75">
      <c r="A16" s="5" t="s">
        <v>91</v>
      </c>
      <c r="B16" s="5" t="s">
        <v>47</v>
      </c>
      <c r="C16" s="5" t="s">
        <v>105</v>
      </c>
      <c r="D16" s="5" t="s">
        <v>106</v>
      </c>
      <c r="E16" s="5" t="s">
        <v>107</v>
      </c>
      <c r="F16" s="5" t="s">
        <v>51</v>
      </c>
      <c r="G16" s="5" t="s">
        <v>107</v>
      </c>
      <c r="H16" s="5" t="s">
        <v>52</v>
      </c>
      <c r="I16" s="5" t="s">
        <v>21</v>
      </c>
      <c r="J16" s="5" t="s">
        <v>107</v>
      </c>
      <c r="K16" s="5" t="s">
        <v>22</v>
      </c>
      <c r="L16" s="5" t="s">
        <v>39</v>
      </c>
      <c r="M16" s="5" t="s">
        <v>53</v>
      </c>
      <c r="N16" s="5" t="s">
        <v>25</v>
      </c>
    </row>
    <row r="17" spans="1:14" ht="42.75">
      <c r="A17" s="5" t="s">
        <v>91</v>
      </c>
      <c r="B17" s="5" t="s">
        <v>54</v>
      </c>
      <c r="C17" s="5" t="s">
        <v>55</v>
      </c>
      <c r="D17" s="5" t="s">
        <v>56</v>
      </c>
      <c r="E17" s="5" t="s">
        <v>57</v>
      </c>
      <c r="F17" s="5" t="s">
        <v>58</v>
      </c>
      <c r="G17" s="5" t="s">
        <v>57</v>
      </c>
      <c r="H17" s="5" t="s">
        <v>59</v>
      </c>
      <c r="I17" s="5" t="s">
        <v>60</v>
      </c>
      <c r="J17" s="5" t="s">
        <v>57</v>
      </c>
      <c r="K17" s="5" t="s">
        <v>22</v>
      </c>
      <c r="L17" s="5" t="s">
        <v>61</v>
      </c>
      <c r="M17" s="5" t="s">
        <v>62</v>
      </c>
      <c r="N17" s="5" t="s">
        <v>25</v>
      </c>
    </row>
    <row r="18" spans="1:14" ht="42.75">
      <c r="A18" s="5" t="s">
        <v>91</v>
      </c>
      <c r="B18" s="5" t="s">
        <v>63</v>
      </c>
      <c r="C18" s="5" t="s">
        <v>108</v>
      </c>
      <c r="D18" s="5" t="s">
        <v>109</v>
      </c>
      <c r="E18" s="5" t="s">
        <v>110</v>
      </c>
      <c r="F18" s="5" t="s">
        <v>19</v>
      </c>
      <c r="G18" s="5" t="s">
        <v>110</v>
      </c>
      <c r="H18" s="5" t="s">
        <v>67</v>
      </c>
      <c r="I18" s="5" t="s">
        <v>38</v>
      </c>
      <c r="J18" s="5" t="s">
        <v>110</v>
      </c>
      <c r="K18" s="5" t="s">
        <v>22</v>
      </c>
      <c r="L18" s="5" t="s">
        <v>61</v>
      </c>
      <c r="M18" s="5" t="s">
        <v>68</v>
      </c>
      <c r="N18" s="5" t="s">
        <v>25</v>
      </c>
    </row>
    <row r="19" spans="1:14" ht="42.75">
      <c r="A19" s="5" t="s">
        <v>91</v>
      </c>
      <c r="B19" s="5" t="s">
        <v>69</v>
      </c>
      <c r="C19" s="5" t="s">
        <v>111</v>
      </c>
      <c r="D19" s="5" t="s">
        <v>112</v>
      </c>
      <c r="E19" s="5" t="s">
        <v>113</v>
      </c>
      <c r="F19" s="5" t="s">
        <v>114</v>
      </c>
      <c r="G19" s="5" t="s">
        <v>113</v>
      </c>
      <c r="H19" s="5" t="s">
        <v>73</v>
      </c>
      <c r="I19" s="5" t="s">
        <v>38</v>
      </c>
      <c r="J19" s="5" t="s">
        <v>113</v>
      </c>
      <c r="K19" s="5" t="s">
        <v>22</v>
      </c>
      <c r="L19" s="5" t="s">
        <v>61</v>
      </c>
      <c r="M19" s="5" t="s">
        <v>74</v>
      </c>
      <c r="N19" s="5" t="s">
        <v>25</v>
      </c>
    </row>
    <row r="20" spans="1:14" ht="42.75">
      <c r="A20" s="5" t="s">
        <v>91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79</v>
      </c>
      <c r="G20" s="5" t="s">
        <v>78</v>
      </c>
      <c r="H20" s="5" t="s">
        <v>80</v>
      </c>
      <c r="I20" s="5" t="s">
        <v>81</v>
      </c>
      <c r="J20" s="5" t="s">
        <v>78</v>
      </c>
      <c r="K20" s="5" t="s">
        <v>22</v>
      </c>
      <c r="L20" s="5" t="s">
        <v>61</v>
      </c>
      <c r="M20" s="5" t="s">
        <v>82</v>
      </c>
      <c r="N20" s="5" t="s">
        <v>25</v>
      </c>
    </row>
    <row r="21" spans="1:14" ht="42.75">
      <c r="A21" s="5" t="s">
        <v>91</v>
      </c>
      <c r="B21" s="5" t="s">
        <v>83</v>
      </c>
      <c r="C21" s="5" t="s">
        <v>84</v>
      </c>
      <c r="D21" s="5" t="s">
        <v>85</v>
      </c>
      <c r="E21" s="5" t="s">
        <v>86</v>
      </c>
      <c r="F21" s="5" t="s">
        <v>87</v>
      </c>
      <c r="G21" s="5" t="s">
        <v>86</v>
      </c>
      <c r="H21" s="5" t="s">
        <v>88</v>
      </c>
      <c r="I21" s="5" t="s">
        <v>89</v>
      </c>
      <c r="J21" s="5" t="s">
        <v>86</v>
      </c>
      <c r="K21" s="5" t="s">
        <v>22</v>
      </c>
      <c r="L21" s="5" t="s">
        <v>39</v>
      </c>
      <c r="M21" s="5" t="s">
        <v>90</v>
      </c>
      <c r="N21" s="5" t="s">
        <v>25</v>
      </c>
    </row>
    <row r="22" spans="1:14" ht="42.75">
      <c r="A22" s="5" t="s">
        <v>115</v>
      </c>
      <c r="B22" s="5" t="s">
        <v>15</v>
      </c>
      <c r="C22" s="5" t="s">
        <v>116</v>
      </c>
      <c r="D22" s="5" t="s">
        <v>117</v>
      </c>
      <c r="E22" s="5" t="s">
        <v>118</v>
      </c>
      <c r="F22" s="5" t="s">
        <v>19</v>
      </c>
      <c r="G22" s="5" t="s">
        <v>118</v>
      </c>
      <c r="H22" s="5" t="s">
        <v>20</v>
      </c>
      <c r="I22" s="5" t="s">
        <v>21</v>
      </c>
      <c r="J22" s="5" t="s">
        <v>118</v>
      </c>
      <c r="K22" s="5" t="s">
        <v>22</v>
      </c>
      <c r="L22" s="5" t="s">
        <v>23</v>
      </c>
      <c r="M22" s="5" t="s">
        <v>24</v>
      </c>
      <c r="N22" s="5" t="s">
        <v>25</v>
      </c>
    </row>
    <row r="23" spans="1:14" ht="42.75">
      <c r="A23" s="5" t="s">
        <v>115</v>
      </c>
      <c r="B23" s="5" t="s">
        <v>26</v>
      </c>
      <c r="C23" s="5" t="s">
        <v>119</v>
      </c>
      <c r="D23" s="5" t="s">
        <v>120</v>
      </c>
      <c r="E23" s="5" t="s">
        <v>121</v>
      </c>
      <c r="F23" s="5" t="s">
        <v>19</v>
      </c>
      <c r="G23" s="5" t="s">
        <v>121</v>
      </c>
      <c r="H23" s="5" t="s">
        <v>29</v>
      </c>
      <c r="I23" s="5" t="s">
        <v>30</v>
      </c>
      <c r="J23" s="5" t="s">
        <v>121</v>
      </c>
      <c r="K23" s="5" t="s">
        <v>22</v>
      </c>
      <c r="L23" s="5" t="s">
        <v>23</v>
      </c>
      <c r="M23" s="5" t="s">
        <v>31</v>
      </c>
      <c r="N23" s="5" t="s">
        <v>25</v>
      </c>
    </row>
    <row r="24" spans="1:14" ht="42.75">
      <c r="A24" s="5" t="s">
        <v>115</v>
      </c>
      <c r="B24" s="5" t="s">
        <v>32</v>
      </c>
      <c r="C24" s="5" t="s">
        <v>122</v>
      </c>
      <c r="D24" s="5" t="s">
        <v>123</v>
      </c>
      <c r="E24" s="5" t="s">
        <v>124</v>
      </c>
      <c r="F24" s="5" t="s">
        <v>19</v>
      </c>
      <c r="G24" s="5" t="s">
        <v>124</v>
      </c>
      <c r="H24" s="5" t="s">
        <v>37</v>
      </c>
      <c r="I24" s="5" t="s">
        <v>38</v>
      </c>
      <c r="J24" s="5" t="s">
        <v>124</v>
      </c>
      <c r="K24" s="5" t="s">
        <v>22</v>
      </c>
      <c r="L24" s="5" t="s">
        <v>39</v>
      </c>
      <c r="M24" s="5" t="s">
        <v>40</v>
      </c>
      <c r="N24" s="5" t="s">
        <v>25</v>
      </c>
    </row>
    <row r="25" spans="1:14" ht="42.75">
      <c r="A25" s="5" t="s">
        <v>115</v>
      </c>
      <c r="B25" s="5" t="s">
        <v>41</v>
      </c>
      <c r="C25" s="5" t="s">
        <v>125</v>
      </c>
      <c r="D25" s="5" t="s">
        <v>126</v>
      </c>
      <c r="E25" s="5" t="s">
        <v>127</v>
      </c>
      <c r="F25" s="5" t="s">
        <v>19</v>
      </c>
      <c r="G25" s="5" t="s">
        <v>127</v>
      </c>
      <c r="H25" s="5" t="s">
        <v>45</v>
      </c>
      <c r="I25" s="5" t="s">
        <v>21</v>
      </c>
      <c r="J25" s="5" t="s">
        <v>127</v>
      </c>
      <c r="K25" s="5" t="s">
        <v>22</v>
      </c>
      <c r="L25" s="5" t="s">
        <v>39</v>
      </c>
      <c r="M25" s="5" t="s">
        <v>46</v>
      </c>
      <c r="N25" s="5" t="s">
        <v>25</v>
      </c>
    </row>
    <row r="26" spans="1:14" ht="42.75">
      <c r="A26" s="5" t="s">
        <v>115</v>
      </c>
      <c r="B26" s="5" t="s">
        <v>47</v>
      </c>
      <c r="C26" s="5" t="s">
        <v>128</v>
      </c>
      <c r="D26" s="5" t="s">
        <v>129</v>
      </c>
      <c r="E26" s="5" t="s">
        <v>130</v>
      </c>
      <c r="F26" s="5" t="s">
        <v>51</v>
      </c>
      <c r="G26" s="5" t="s">
        <v>130</v>
      </c>
      <c r="H26" s="5" t="s">
        <v>52</v>
      </c>
      <c r="I26" s="5" t="s">
        <v>21</v>
      </c>
      <c r="J26" s="5" t="s">
        <v>130</v>
      </c>
      <c r="K26" s="5" t="s">
        <v>22</v>
      </c>
      <c r="L26" s="5" t="s">
        <v>39</v>
      </c>
      <c r="M26" s="5" t="s">
        <v>53</v>
      </c>
      <c r="N26" s="5" t="s">
        <v>25</v>
      </c>
    </row>
    <row r="27" spans="1:14" ht="42.75">
      <c r="A27" s="5" t="s">
        <v>115</v>
      </c>
      <c r="B27" s="5" t="s">
        <v>54</v>
      </c>
      <c r="C27" s="5" t="s">
        <v>55</v>
      </c>
      <c r="D27" s="5" t="s">
        <v>56</v>
      </c>
      <c r="E27" s="5" t="s">
        <v>57</v>
      </c>
      <c r="F27" s="5" t="s">
        <v>58</v>
      </c>
      <c r="G27" s="5" t="s">
        <v>57</v>
      </c>
      <c r="H27" s="5" t="s">
        <v>59</v>
      </c>
      <c r="I27" s="5" t="s">
        <v>60</v>
      </c>
      <c r="J27" s="5" t="s">
        <v>57</v>
      </c>
      <c r="K27" s="5" t="s">
        <v>22</v>
      </c>
      <c r="L27" s="5" t="s">
        <v>61</v>
      </c>
      <c r="M27" s="5" t="s">
        <v>62</v>
      </c>
      <c r="N27" s="5" t="s">
        <v>25</v>
      </c>
    </row>
    <row r="28" spans="1:14" ht="42.75">
      <c r="A28" s="5" t="s">
        <v>115</v>
      </c>
      <c r="B28" s="5" t="s">
        <v>63</v>
      </c>
      <c r="C28" s="5" t="s">
        <v>131</v>
      </c>
      <c r="D28" s="5" t="s">
        <v>132</v>
      </c>
      <c r="E28" s="5" t="s">
        <v>110</v>
      </c>
      <c r="F28" s="5" t="s">
        <v>19</v>
      </c>
      <c r="G28" s="5" t="s">
        <v>110</v>
      </c>
      <c r="H28" s="5" t="s">
        <v>67</v>
      </c>
      <c r="I28" s="5" t="s">
        <v>38</v>
      </c>
      <c r="J28" s="5" t="s">
        <v>110</v>
      </c>
      <c r="K28" s="5" t="s">
        <v>22</v>
      </c>
      <c r="L28" s="5" t="s">
        <v>61</v>
      </c>
      <c r="M28" s="5" t="s">
        <v>68</v>
      </c>
      <c r="N28" s="5" t="s">
        <v>25</v>
      </c>
    </row>
    <row r="29" spans="1:14" ht="42.75">
      <c r="A29" s="5" t="s">
        <v>115</v>
      </c>
      <c r="B29" s="5" t="s">
        <v>69</v>
      </c>
      <c r="C29" s="5" t="s">
        <v>133</v>
      </c>
      <c r="D29" s="5" t="s">
        <v>134</v>
      </c>
      <c r="E29" s="5" t="s">
        <v>135</v>
      </c>
      <c r="F29" s="5" t="s">
        <v>19</v>
      </c>
      <c r="G29" s="5" t="s">
        <v>135</v>
      </c>
      <c r="H29" s="5" t="s">
        <v>73</v>
      </c>
      <c r="I29" s="5" t="s">
        <v>38</v>
      </c>
      <c r="J29" s="5" t="s">
        <v>135</v>
      </c>
      <c r="K29" s="5" t="s">
        <v>22</v>
      </c>
      <c r="L29" s="5" t="s">
        <v>61</v>
      </c>
      <c r="M29" s="5" t="s">
        <v>74</v>
      </c>
      <c r="N29" s="5" t="s">
        <v>25</v>
      </c>
    </row>
    <row r="30" spans="1:14" ht="42.75">
      <c r="A30" s="5" t="s">
        <v>115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79</v>
      </c>
      <c r="G30" s="5" t="s">
        <v>78</v>
      </c>
      <c r="H30" s="5" t="s">
        <v>80</v>
      </c>
      <c r="I30" s="5" t="s">
        <v>81</v>
      </c>
      <c r="J30" s="5" t="s">
        <v>78</v>
      </c>
      <c r="K30" s="5" t="s">
        <v>22</v>
      </c>
      <c r="L30" s="5" t="s">
        <v>61</v>
      </c>
      <c r="M30" s="5" t="s">
        <v>82</v>
      </c>
      <c r="N30" s="5" t="s">
        <v>25</v>
      </c>
    </row>
    <row r="31" spans="1:14" ht="42.75">
      <c r="A31" s="5" t="s">
        <v>115</v>
      </c>
      <c r="B31" s="5" t="s">
        <v>83</v>
      </c>
      <c r="C31" s="5" t="s">
        <v>84</v>
      </c>
      <c r="D31" s="5" t="s">
        <v>85</v>
      </c>
      <c r="E31" s="5" t="s">
        <v>86</v>
      </c>
      <c r="F31" s="5" t="s">
        <v>87</v>
      </c>
      <c r="G31" s="5" t="s">
        <v>86</v>
      </c>
      <c r="H31" s="5" t="s">
        <v>88</v>
      </c>
      <c r="I31" s="5" t="s">
        <v>89</v>
      </c>
      <c r="J31" s="5" t="s">
        <v>86</v>
      </c>
      <c r="K31" s="5" t="s">
        <v>22</v>
      </c>
      <c r="L31" s="5" t="s">
        <v>39</v>
      </c>
      <c r="M31" s="5" t="s">
        <v>90</v>
      </c>
      <c r="N31" s="5" t="s">
        <v>25</v>
      </c>
    </row>
    <row r="32" spans="1:14" ht="42.75">
      <c r="A32" s="5" t="s">
        <v>136</v>
      </c>
      <c r="B32" s="5" t="s">
        <v>15</v>
      </c>
      <c r="C32" s="5" t="s">
        <v>137</v>
      </c>
      <c r="D32" s="5" t="s">
        <v>138</v>
      </c>
      <c r="E32" s="5" t="s">
        <v>139</v>
      </c>
      <c r="F32" s="5" t="s">
        <v>19</v>
      </c>
      <c r="G32" s="5" t="s">
        <v>139</v>
      </c>
      <c r="H32" s="5" t="s">
        <v>20</v>
      </c>
      <c r="I32" s="5" t="s">
        <v>21</v>
      </c>
      <c r="J32" s="5" t="s">
        <v>139</v>
      </c>
      <c r="K32" s="5" t="s">
        <v>22</v>
      </c>
      <c r="L32" s="5" t="s">
        <v>23</v>
      </c>
      <c r="M32" s="5" t="s">
        <v>24</v>
      </c>
      <c r="N32" s="5" t="s">
        <v>25</v>
      </c>
    </row>
    <row r="33" spans="1:14" ht="42.75">
      <c r="A33" s="5" t="s">
        <v>136</v>
      </c>
      <c r="B33" s="5" t="s">
        <v>26</v>
      </c>
      <c r="C33" s="5" t="s">
        <v>140</v>
      </c>
      <c r="D33" s="5" t="s">
        <v>141</v>
      </c>
      <c r="E33" s="5" t="s">
        <v>142</v>
      </c>
      <c r="F33" s="5" t="s">
        <v>19</v>
      </c>
      <c r="G33" s="5" t="s">
        <v>142</v>
      </c>
      <c r="H33" s="5" t="s">
        <v>29</v>
      </c>
      <c r="I33" s="5" t="s">
        <v>30</v>
      </c>
      <c r="J33" s="5" t="s">
        <v>142</v>
      </c>
      <c r="K33" s="5" t="s">
        <v>22</v>
      </c>
      <c r="L33" s="5" t="s">
        <v>23</v>
      </c>
      <c r="M33" s="5" t="s">
        <v>31</v>
      </c>
      <c r="N33" s="5" t="s">
        <v>25</v>
      </c>
    </row>
    <row r="34" spans="1:14" ht="42.75">
      <c r="A34" s="5" t="s">
        <v>136</v>
      </c>
      <c r="B34" s="5" t="s">
        <v>32</v>
      </c>
      <c r="C34" s="5" t="s">
        <v>143</v>
      </c>
      <c r="D34" s="5" t="s">
        <v>144</v>
      </c>
      <c r="E34" s="5" t="s">
        <v>145</v>
      </c>
      <c r="F34" s="5" t="s">
        <v>19</v>
      </c>
      <c r="G34" s="5" t="s">
        <v>145</v>
      </c>
      <c r="H34" s="5" t="s">
        <v>37</v>
      </c>
      <c r="I34" s="5" t="s">
        <v>38</v>
      </c>
      <c r="J34" s="5" t="s">
        <v>145</v>
      </c>
      <c r="K34" s="5" t="s">
        <v>22</v>
      </c>
      <c r="L34" s="5" t="s">
        <v>39</v>
      </c>
      <c r="M34" s="5" t="s">
        <v>40</v>
      </c>
      <c r="N34" s="5" t="s">
        <v>25</v>
      </c>
    </row>
    <row r="35" spans="1:14" ht="42.75">
      <c r="A35" s="5" t="s">
        <v>136</v>
      </c>
      <c r="B35" s="5" t="s">
        <v>41</v>
      </c>
      <c r="C35" s="5" t="s">
        <v>146</v>
      </c>
      <c r="D35" s="5" t="s">
        <v>147</v>
      </c>
      <c r="E35" s="5" t="s">
        <v>148</v>
      </c>
      <c r="F35" s="5" t="s">
        <v>19</v>
      </c>
      <c r="G35" s="5" t="s">
        <v>148</v>
      </c>
      <c r="H35" s="5" t="s">
        <v>45</v>
      </c>
      <c r="I35" s="5" t="s">
        <v>21</v>
      </c>
      <c r="J35" s="5" t="s">
        <v>148</v>
      </c>
      <c r="K35" s="5" t="s">
        <v>22</v>
      </c>
      <c r="L35" s="5" t="s">
        <v>39</v>
      </c>
      <c r="M35" s="5" t="s">
        <v>46</v>
      </c>
      <c r="N35" s="5" t="s">
        <v>25</v>
      </c>
    </row>
    <row r="36" spans="1:14" ht="42.75">
      <c r="A36" s="5" t="s">
        <v>136</v>
      </c>
      <c r="B36" s="5" t="s">
        <v>47</v>
      </c>
      <c r="C36" s="5" t="s">
        <v>149</v>
      </c>
      <c r="D36" s="5" t="s">
        <v>150</v>
      </c>
      <c r="E36" s="5" t="s">
        <v>151</v>
      </c>
      <c r="F36" s="5" t="s">
        <v>51</v>
      </c>
      <c r="G36" s="5" t="s">
        <v>151</v>
      </c>
      <c r="H36" s="5" t="s">
        <v>52</v>
      </c>
      <c r="I36" s="5" t="s">
        <v>21</v>
      </c>
      <c r="J36" s="5" t="s">
        <v>151</v>
      </c>
      <c r="K36" s="5" t="s">
        <v>22</v>
      </c>
      <c r="L36" s="5" t="s">
        <v>39</v>
      </c>
      <c r="M36" s="5" t="s">
        <v>53</v>
      </c>
      <c r="N36" s="5" t="s">
        <v>25</v>
      </c>
    </row>
    <row r="37" spans="1:14" ht="42.75">
      <c r="A37" s="5" t="s">
        <v>136</v>
      </c>
      <c r="B37" s="5" t="s">
        <v>54</v>
      </c>
      <c r="C37" s="5" t="s">
        <v>55</v>
      </c>
      <c r="D37" s="5" t="s">
        <v>56</v>
      </c>
      <c r="E37" s="5" t="s">
        <v>57</v>
      </c>
      <c r="F37" s="5" t="s">
        <v>58</v>
      </c>
      <c r="G37" s="5" t="s">
        <v>57</v>
      </c>
      <c r="H37" s="5" t="s">
        <v>59</v>
      </c>
      <c r="I37" s="5" t="s">
        <v>60</v>
      </c>
      <c r="J37" s="5" t="s">
        <v>57</v>
      </c>
      <c r="K37" s="5" t="s">
        <v>22</v>
      </c>
      <c r="L37" s="5" t="s">
        <v>61</v>
      </c>
      <c r="M37" s="5" t="s">
        <v>62</v>
      </c>
      <c r="N37" s="5" t="s">
        <v>25</v>
      </c>
    </row>
    <row r="38" spans="1:14" ht="42.75">
      <c r="A38" s="5" t="s">
        <v>136</v>
      </c>
      <c r="B38" s="5" t="s">
        <v>63</v>
      </c>
      <c r="C38" s="5" t="s">
        <v>152</v>
      </c>
      <c r="D38" s="5" t="s">
        <v>153</v>
      </c>
      <c r="E38" s="5" t="s">
        <v>154</v>
      </c>
      <c r="F38" s="5" t="s">
        <v>19</v>
      </c>
      <c r="G38" s="5" t="s">
        <v>154</v>
      </c>
      <c r="H38" s="5" t="s">
        <v>67</v>
      </c>
      <c r="I38" s="5" t="s">
        <v>38</v>
      </c>
      <c r="J38" s="5" t="s">
        <v>154</v>
      </c>
      <c r="K38" s="5" t="s">
        <v>22</v>
      </c>
      <c r="L38" s="5" t="s">
        <v>61</v>
      </c>
      <c r="M38" s="5" t="s">
        <v>68</v>
      </c>
      <c r="N38" s="5" t="s">
        <v>25</v>
      </c>
    </row>
    <row r="39" spans="1:14" ht="42.75">
      <c r="A39" s="5" t="s">
        <v>136</v>
      </c>
      <c r="B39" s="5" t="s">
        <v>69</v>
      </c>
      <c r="C39" s="5" t="s">
        <v>143</v>
      </c>
      <c r="D39" s="5" t="s">
        <v>155</v>
      </c>
      <c r="E39" s="5" t="s">
        <v>145</v>
      </c>
      <c r="F39" s="5" t="s">
        <v>19</v>
      </c>
      <c r="G39" s="5" t="s">
        <v>145</v>
      </c>
      <c r="H39" s="5" t="s">
        <v>73</v>
      </c>
      <c r="I39" s="5" t="s">
        <v>38</v>
      </c>
      <c r="J39" s="5" t="s">
        <v>145</v>
      </c>
      <c r="K39" s="5" t="s">
        <v>22</v>
      </c>
      <c r="L39" s="5" t="s">
        <v>61</v>
      </c>
      <c r="M39" s="5" t="s">
        <v>74</v>
      </c>
      <c r="N39" s="5" t="s">
        <v>25</v>
      </c>
    </row>
    <row r="40" spans="1:14" ht="42.75">
      <c r="A40" s="5" t="s">
        <v>136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79</v>
      </c>
      <c r="G40" s="5" t="s">
        <v>78</v>
      </c>
      <c r="H40" s="5" t="s">
        <v>80</v>
      </c>
      <c r="I40" s="5" t="s">
        <v>81</v>
      </c>
      <c r="J40" s="5" t="s">
        <v>78</v>
      </c>
      <c r="K40" s="5" t="s">
        <v>22</v>
      </c>
      <c r="L40" s="5" t="s">
        <v>61</v>
      </c>
      <c r="M40" s="5" t="s">
        <v>82</v>
      </c>
      <c r="N40" s="5" t="s">
        <v>25</v>
      </c>
    </row>
    <row r="41" spans="1:14" ht="42.75">
      <c r="A41" s="5" t="s">
        <v>136</v>
      </c>
      <c r="B41" s="5" t="s">
        <v>83</v>
      </c>
      <c r="C41" s="5" t="s">
        <v>84</v>
      </c>
      <c r="D41" s="5" t="s">
        <v>85</v>
      </c>
      <c r="E41" s="5" t="s">
        <v>86</v>
      </c>
      <c r="F41" s="5" t="s">
        <v>87</v>
      </c>
      <c r="G41" s="5" t="s">
        <v>86</v>
      </c>
      <c r="H41" s="5" t="s">
        <v>88</v>
      </c>
      <c r="I41" s="5" t="s">
        <v>89</v>
      </c>
      <c r="J41" s="5" t="s">
        <v>86</v>
      </c>
      <c r="K41" s="5" t="s">
        <v>22</v>
      </c>
      <c r="L41" s="5" t="s">
        <v>39</v>
      </c>
      <c r="M41" s="5" t="s">
        <v>90</v>
      </c>
      <c r="N41" s="5" t="s">
        <v>25</v>
      </c>
    </row>
    <row r="42" spans="1:14" ht="42.75">
      <c r="A42" s="5" t="s">
        <v>156</v>
      </c>
      <c r="B42" s="5" t="s">
        <v>15</v>
      </c>
      <c r="C42" s="5" t="s">
        <v>157</v>
      </c>
      <c r="D42" s="5" t="s">
        <v>158</v>
      </c>
      <c r="E42" s="5" t="s">
        <v>159</v>
      </c>
      <c r="F42" s="5" t="s">
        <v>160</v>
      </c>
      <c r="G42" s="5" t="s">
        <v>159</v>
      </c>
      <c r="H42" s="5" t="s">
        <v>20</v>
      </c>
      <c r="I42" s="5" t="s">
        <v>21</v>
      </c>
      <c r="J42" s="5" t="s">
        <v>159</v>
      </c>
      <c r="K42" s="5" t="s">
        <v>22</v>
      </c>
      <c r="L42" s="5" t="s">
        <v>23</v>
      </c>
      <c r="M42" s="5" t="s">
        <v>24</v>
      </c>
      <c r="N42" s="5" t="s">
        <v>25</v>
      </c>
    </row>
    <row r="43" spans="1:14" ht="42.75">
      <c r="A43" s="5" t="s">
        <v>156</v>
      </c>
      <c r="B43" s="5" t="s">
        <v>26</v>
      </c>
      <c r="C43" s="5" t="s">
        <v>161</v>
      </c>
      <c r="D43" s="5" t="s">
        <v>162</v>
      </c>
      <c r="E43" s="5" t="s">
        <v>163</v>
      </c>
      <c r="F43" s="5" t="s">
        <v>160</v>
      </c>
      <c r="G43" s="5" t="s">
        <v>163</v>
      </c>
      <c r="H43" s="5" t="s">
        <v>29</v>
      </c>
      <c r="I43" s="5" t="s">
        <v>30</v>
      </c>
      <c r="J43" s="5" t="s">
        <v>163</v>
      </c>
      <c r="K43" s="5" t="s">
        <v>22</v>
      </c>
      <c r="L43" s="5" t="s">
        <v>23</v>
      </c>
      <c r="M43" s="5" t="s">
        <v>31</v>
      </c>
      <c r="N43" s="5" t="s">
        <v>25</v>
      </c>
    </row>
    <row r="44" spans="1:14" ht="42.75">
      <c r="A44" s="5" t="s">
        <v>156</v>
      </c>
      <c r="B44" s="5" t="s">
        <v>32</v>
      </c>
      <c r="C44" s="5" t="s">
        <v>164</v>
      </c>
      <c r="D44" s="5" t="s">
        <v>165</v>
      </c>
      <c r="E44" s="5" t="s">
        <v>166</v>
      </c>
      <c r="F44" s="5" t="s">
        <v>19</v>
      </c>
      <c r="G44" s="5" t="s">
        <v>166</v>
      </c>
      <c r="H44" s="5" t="s">
        <v>37</v>
      </c>
      <c r="I44" s="5" t="s">
        <v>38</v>
      </c>
      <c r="J44" s="5" t="s">
        <v>166</v>
      </c>
      <c r="K44" s="5" t="s">
        <v>22</v>
      </c>
      <c r="L44" s="5" t="s">
        <v>39</v>
      </c>
      <c r="M44" s="5" t="s">
        <v>40</v>
      </c>
      <c r="N44" s="5" t="s">
        <v>25</v>
      </c>
    </row>
    <row r="45" spans="1:14" ht="42.75">
      <c r="A45" s="5" t="s">
        <v>156</v>
      </c>
      <c r="B45" s="5" t="s">
        <v>41</v>
      </c>
      <c r="C45" s="5" t="s">
        <v>167</v>
      </c>
      <c r="D45" s="5" t="s">
        <v>147</v>
      </c>
      <c r="E45" s="5" t="s">
        <v>168</v>
      </c>
      <c r="F45" s="5" t="s">
        <v>19</v>
      </c>
      <c r="G45" s="5" t="s">
        <v>168</v>
      </c>
      <c r="H45" s="5" t="s">
        <v>45</v>
      </c>
      <c r="I45" s="5" t="s">
        <v>21</v>
      </c>
      <c r="J45" s="5" t="s">
        <v>168</v>
      </c>
      <c r="K45" s="5" t="s">
        <v>22</v>
      </c>
      <c r="L45" s="5" t="s">
        <v>39</v>
      </c>
      <c r="M45" s="5" t="s">
        <v>46</v>
      </c>
      <c r="N45" s="5" t="s">
        <v>25</v>
      </c>
    </row>
    <row r="46" spans="1:14" ht="42.75">
      <c r="A46" s="5" t="s">
        <v>156</v>
      </c>
      <c r="B46" s="5" t="s">
        <v>47</v>
      </c>
      <c r="C46" s="5" t="s">
        <v>169</v>
      </c>
      <c r="D46" s="5" t="s">
        <v>170</v>
      </c>
      <c r="E46" s="5" t="s">
        <v>171</v>
      </c>
      <c r="F46" s="5" t="s">
        <v>51</v>
      </c>
      <c r="G46" s="5" t="s">
        <v>171</v>
      </c>
      <c r="H46" s="5" t="s">
        <v>52</v>
      </c>
      <c r="I46" s="5" t="s">
        <v>21</v>
      </c>
      <c r="J46" s="5" t="s">
        <v>171</v>
      </c>
      <c r="K46" s="5" t="s">
        <v>22</v>
      </c>
      <c r="L46" s="5" t="s">
        <v>39</v>
      </c>
      <c r="M46" s="5" t="s">
        <v>53</v>
      </c>
      <c r="N46" s="5" t="s">
        <v>25</v>
      </c>
    </row>
    <row r="47" spans="1:14" ht="42.75">
      <c r="A47" s="5" t="s">
        <v>156</v>
      </c>
      <c r="B47" s="5" t="s">
        <v>54</v>
      </c>
      <c r="C47" s="5" t="s">
        <v>55</v>
      </c>
      <c r="D47" s="5" t="s">
        <v>56</v>
      </c>
      <c r="E47" s="5" t="s">
        <v>57</v>
      </c>
      <c r="F47" s="5" t="s">
        <v>58</v>
      </c>
      <c r="G47" s="5" t="s">
        <v>57</v>
      </c>
      <c r="H47" s="5" t="s">
        <v>59</v>
      </c>
      <c r="I47" s="5" t="s">
        <v>60</v>
      </c>
      <c r="J47" s="5" t="s">
        <v>57</v>
      </c>
      <c r="K47" s="5" t="s">
        <v>22</v>
      </c>
      <c r="L47" s="5" t="s">
        <v>61</v>
      </c>
      <c r="M47" s="5" t="s">
        <v>62</v>
      </c>
      <c r="N47" s="5" t="s">
        <v>25</v>
      </c>
    </row>
    <row r="48" spans="1:14" ht="42.75">
      <c r="A48" s="5" t="s">
        <v>156</v>
      </c>
      <c r="B48" s="5" t="s">
        <v>63</v>
      </c>
      <c r="C48" s="5" t="s">
        <v>172</v>
      </c>
      <c r="D48" s="5" t="s">
        <v>173</v>
      </c>
      <c r="E48" s="5" t="s">
        <v>174</v>
      </c>
      <c r="F48" s="5" t="s">
        <v>175</v>
      </c>
      <c r="G48" s="5" t="s">
        <v>174</v>
      </c>
      <c r="H48" s="5" t="s">
        <v>67</v>
      </c>
      <c r="I48" s="5" t="s">
        <v>38</v>
      </c>
      <c r="J48" s="5" t="s">
        <v>174</v>
      </c>
      <c r="K48" s="5" t="s">
        <v>22</v>
      </c>
      <c r="L48" s="5" t="s">
        <v>61</v>
      </c>
      <c r="M48" s="5" t="s">
        <v>68</v>
      </c>
      <c r="N48" s="5" t="s">
        <v>25</v>
      </c>
    </row>
    <row r="49" spans="1:14" ht="42.75">
      <c r="A49" s="5" t="s">
        <v>156</v>
      </c>
      <c r="B49" s="5" t="s">
        <v>69</v>
      </c>
      <c r="C49" s="5" t="s">
        <v>176</v>
      </c>
      <c r="D49" s="5" t="s">
        <v>177</v>
      </c>
      <c r="E49" s="5" t="s">
        <v>178</v>
      </c>
      <c r="F49" s="5" t="s">
        <v>19</v>
      </c>
      <c r="G49" s="5" t="s">
        <v>178</v>
      </c>
      <c r="H49" s="5" t="s">
        <v>73</v>
      </c>
      <c r="I49" s="5" t="s">
        <v>38</v>
      </c>
      <c r="J49" s="5" t="s">
        <v>178</v>
      </c>
      <c r="K49" s="5" t="s">
        <v>22</v>
      </c>
      <c r="L49" s="5" t="s">
        <v>61</v>
      </c>
      <c r="M49" s="5" t="s">
        <v>74</v>
      </c>
      <c r="N49" s="5" t="s">
        <v>25</v>
      </c>
    </row>
    <row r="50" spans="1:14" ht="42.75">
      <c r="A50" s="5" t="s">
        <v>156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79</v>
      </c>
      <c r="G50" s="5" t="s">
        <v>78</v>
      </c>
      <c r="H50" s="5" t="s">
        <v>80</v>
      </c>
      <c r="I50" s="5" t="s">
        <v>81</v>
      </c>
      <c r="J50" s="5" t="s">
        <v>78</v>
      </c>
      <c r="K50" s="5" t="s">
        <v>22</v>
      </c>
      <c r="L50" s="5" t="s">
        <v>61</v>
      </c>
      <c r="M50" s="5" t="s">
        <v>82</v>
      </c>
      <c r="N50" s="5" t="s">
        <v>25</v>
      </c>
    </row>
    <row r="51" spans="1:14" ht="42.75">
      <c r="A51" s="5" t="s">
        <v>156</v>
      </c>
      <c r="B51" s="5" t="s">
        <v>83</v>
      </c>
      <c r="C51" s="5" t="s">
        <v>84</v>
      </c>
      <c r="D51" s="5" t="s">
        <v>85</v>
      </c>
      <c r="E51" s="5" t="s">
        <v>86</v>
      </c>
      <c r="F51" s="5" t="s">
        <v>87</v>
      </c>
      <c r="G51" s="5" t="s">
        <v>86</v>
      </c>
      <c r="H51" s="5" t="s">
        <v>88</v>
      </c>
      <c r="I51" s="5" t="s">
        <v>89</v>
      </c>
      <c r="J51" s="5" t="s">
        <v>86</v>
      </c>
      <c r="K51" s="5" t="s">
        <v>22</v>
      </c>
      <c r="L51" s="5" t="s">
        <v>39</v>
      </c>
      <c r="M51" s="5" t="s">
        <v>90</v>
      </c>
      <c r="N51" s="5" t="s">
        <v>25</v>
      </c>
    </row>
    <row r="52" spans="1:14" ht="42.75">
      <c r="A52" s="5" t="s">
        <v>179</v>
      </c>
      <c r="B52" s="5" t="s">
        <v>15</v>
      </c>
      <c r="C52" s="5" t="s">
        <v>180</v>
      </c>
      <c r="D52" s="5" t="s">
        <v>181</v>
      </c>
      <c r="E52" s="5" t="s">
        <v>182</v>
      </c>
      <c r="F52" s="5" t="s">
        <v>19</v>
      </c>
      <c r="G52" s="5" t="s">
        <v>182</v>
      </c>
      <c r="H52" s="5" t="s">
        <v>20</v>
      </c>
      <c r="I52" s="5" t="s">
        <v>21</v>
      </c>
      <c r="J52" s="5" t="s">
        <v>182</v>
      </c>
      <c r="K52" s="5" t="s">
        <v>22</v>
      </c>
      <c r="L52" s="5" t="s">
        <v>23</v>
      </c>
      <c r="M52" s="5" t="s">
        <v>24</v>
      </c>
      <c r="N52" s="5" t="s">
        <v>25</v>
      </c>
    </row>
    <row r="53" spans="1:14" ht="42.75">
      <c r="A53" s="5" t="s">
        <v>179</v>
      </c>
      <c r="B53" s="5" t="s">
        <v>26</v>
      </c>
      <c r="C53" s="5" t="s">
        <v>183</v>
      </c>
      <c r="D53" s="5" t="s">
        <v>184</v>
      </c>
      <c r="E53" s="5" t="s">
        <v>185</v>
      </c>
      <c r="F53" s="5" t="s">
        <v>19</v>
      </c>
      <c r="G53" s="5" t="s">
        <v>185</v>
      </c>
      <c r="H53" s="5" t="s">
        <v>29</v>
      </c>
      <c r="I53" s="5" t="s">
        <v>30</v>
      </c>
      <c r="J53" s="5" t="s">
        <v>185</v>
      </c>
      <c r="K53" s="5" t="s">
        <v>22</v>
      </c>
      <c r="L53" s="5" t="s">
        <v>23</v>
      </c>
      <c r="M53" s="5" t="s">
        <v>31</v>
      </c>
      <c r="N53" s="5" t="s">
        <v>25</v>
      </c>
    </row>
    <row r="54" spans="1:14" ht="42.75">
      <c r="A54" s="5" t="s">
        <v>179</v>
      </c>
      <c r="B54" s="5" t="s">
        <v>32</v>
      </c>
      <c r="C54" s="5" t="s">
        <v>186</v>
      </c>
      <c r="D54" s="5" t="s">
        <v>187</v>
      </c>
      <c r="E54" s="5" t="s">
        <v>188</v>
      </c>
      <c r="F54" s="5" t="s">
        <v>19</v>
      </c>
      <c r="G54" s="5" t="s">
        <v>188</v>
      </c>
      <c r="H54" s="5" t="s">
        <v>37</v>
      </c>
      <c r="I54" s="5" t="s">
        <v>38</v>
      </c>
      <c r="J54" s="5" t="s">
        <v>188</v>
      </c>
      <c r="K54" s="5" t="s">
        <v>22</v>
      </c>
      <c r="L54" s="5" t="s">
        <v>39</v>
      </c>
      <c r="M54" s="5" t="s">
        <v>40</v>
      </c>
      <c r="N54" s="5" t="s">
        <v>25</v>
      </c>
    </row>
    <row r="55" spans="1:14" ht="42.75">
      <c r="A55" s="5" t="s">
        <v>179</v>
      </c>
      <c r="B55" s="5" t="s">
        <v>41</v>
      </c>
      <c r="C55" s="5" t="s">
        <v>189</v>
      </c>
      <c r="D55" s="5" t="s">
        <v>147</v>
      </c>
      <c r="E55" s="5" t="s">
        <v>190</v>
      </c>
      <c r="F55" s="5" t="s">
        <v>19</v>
      </c>
      <c r="G55" s="5" t="s">
        <v>190</v>
      </c>
      <c r="H55" s="5" t="s">
        <v>45</v>
      </c>
      <c r="I55" s="5" t="s">
        <v>21</v>
      </c>
      <c r="J55" s="5" t="s">
        <v>190</v>
      </c>
      <c r="K55" s="5" t="s">
        <v>22</v>
      </c>
      <c r="L55" s="5" t="s">
        <v>39</v>
      </c>
      <c r="M55" s="5" t="s">
        <v>46</v>
      </c>
      <c r="N55" s="5" t="s">
        <v>25</v>
      </c>
    </row>
    <row r="56" spans="1:14" ht="42.75">
      <c r="A56" s="5" t="s">
        <v>179</v>
      </c>
      <c r="B56" s="5" t="s">
        <v>47</v>
      </c>
      <c r="C56" s="5" t="s">
        <v>191</v>
      </c>
      <c r="D56" s="5" t="s">
        <v>192</v>
      </c>
      <c r="E56" s="5" t="s">
        <v>193</v>
      </c>
      <c r="F56" s="5" t="s">
        <v>51</v>
      </c>
      <c r="G56" s="5" t="s">
        <v>193</v>
      </c>
      <c r="H56" s="5" t="s">
        <v>52</v>
      </c>
      <c r="I56" s="5" t="s">
        <v>21</v>
      </c>
      <c r="J56" s="5" t="s">
        <v>193</v>
      </c>
      <c r="K56" s="5" t="s">
        <v>22</v>
      </c>
      <c r="L56" s="5" t="s">
        <v>39</v>
      </c>
      <c r="M56" s="5" t="s">
        <v>53</v>
      </c>
      <c r="N56" s="5" t="s">
        <v>25</v>
      </c>
    </row>
    <row r="57" spans="1:14" ht="42.75">
      <c r="A57" s="5" t="s">
        <v>179</v>
      </c>
      <c r="B57" s="5" t="s">
        <v>54</v>
      </c>
      <c r="C57" s="5" t="s">
        <v>55</v>
      </c>
      <c r="D57" s="5" t="s">
        <v>56</v>
      </c>
      <c r="E57" s="5" t="s">
        <v>57</v>
      </c>
      <c r="F57" s="5" t="s">
        <v>58</v>
      </c>
      <c r="G57" s="5" t="s">
        <v>57</v>
      </c>
      <c r="H57" s="5" t="s">
        <v>59</v>
      </c>
      <c r="I57" s="5" t="s">
        <v>60</v>
      </c>
      <c r="J57" s="5" t="s">
        <v>57</v>
      </c>
      <c r="K57" s="5" t="s">
        <v>22</v>
      </c>
      <c r="L57" s="5" t="s">
        <v>61</v>
      </c>
      <c r="M57" s="5" t="s">
        <v>62</v>
      </c>
      <c r="N57" s="5" t="s">
        <v>25</v>
      </c>
    </row>
    <row r="58" spans="1:14" ht="42.75">
      <c r="A58" s="5" t="s">
        <v>179</v>
      </c>
      <c r="B58" s="5" t="s">
        <v>63</v>
      </c>
      <c r="C58" s="5" t="s">
        <v>194</v>
      </c>
      <c r="D58" s="5" t="s">
        <v>195</v>
      </c>
      <c r="E58" s="5" t="s">
        <v>196</v>
      </c>
      <c r="F58" s="5" t="s">
        <v>19</v>
      </c>
      <c r="G58" s="5" t="s">
        <v>196</v>
      </c>
      <c r="H58" s="5" t="s">
        <v>67</v>
      </c>
      <c r="I58" s="5" t="s">
        <v>38</v>
      </c>
      <c r="J58" s="5" t="s">
        <v>196</v>
      </c>
      <c r="K58" s="5" t="s">
        <v>22</v>
      </c>
      <c r="L58" s="5" t="s">
        <v>61</v>
      </c>
      <c r="M58" s="5" t="s">
        <v>68</v>
      </c>
      <c r="N58" s="5" t="s">
        <v>25</v>
      </c>
    </row>
    <row r="59" spans="1:14" ht="42.75">
      <c r="A59" s="5" t="s">
        <v>179</v>
      </c>
      <c r="B59" s="5" t="s">
        <v>69</v>
      </c>
      <c r="C59" s="5" t="s">
        <v>186</v>
      </c>
      <c r="D59" s="5" t="s">
        <v>197</v>
      </c>
      <c r="E59" s="5" t="s">
        <v>188</v>
      </c>
      <c r="F59" s="5" t="s">
        <v>19</v>
      </c>
      <c r="G59" s="5" t="s">
        <v>188</v>
      </c>
      <c r="H59" s="5" t="s">
        <v>73</v>
      </c>
      <c r="I59" s="5" t="s">
        <v>38</v>
      </c>
      <c r="J59" s="5" t="s">
        <v>188</v>
      </c>
      <c r="K59" s="5" t="s">
        <v>22</v>
      </c>
      <c r="L59" s="5" t="s">
        <v>61</v>
      </c>
      <c r="M59" s="5" t="s">
        <v>74</v>
      </c>
      <c r="N59" s="5" t="s">
        <v>25</v>
      </c>
    </row>
    <row r="60" spans="1:14" ht="42.75">
      <c r="A60" s="5" t="s">
        <v>179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79</v>
      </c>
      <c r="G60" s="5" t="s">
        <v>78</v>
      </c>
      <c r="H60" s="5" t="s">
        <v>80</v>
      </c>
      <c r="I60" s="5" t="s">
        <v>81</v>
      </c>
      <c r="J60" s="5" t="s">
        <v>78</v>
      </c>
      <c r="K60" s="5" t="s">
        <v>22</v>
      </c>
      <c r="L60" s="5" t="s">
        <v>61</v>
      </c>
      <c r="M60" s="5" t="s">
        <v>82</v>
      </c>
      <c r="N60" s="5" t="s">
        <v>25</v>
      </c>
    </row>
    <row r="61" spans="1:14" ht="42.75">
      <c r="A61" s="5" t="s">
        <v>179</v>
      </c>
      <c r="B61" s="5" t="s">
        <v>83</v>
      </c>
      <c r="C61" s="5" t="s">
        <v>84</v>
      </c>
      <c r="D61" s="5" t="s">
        <v>85</v>
      </c>
      <c r="E61" s="5" t="s">
        <v>86</v>
      </c>
      <c r="F61" s="5" t="s">
        <v>87</v>
      </c>
      <c r="G61" s="5" t="s">
        <v>86</v>
      </c>
      <c r="H61" s="5" t="s">
        <v>88</v>
      </c>
      <c r="I61" s="5" t="s">
        <v>89</v>
      </c>
      <c r="J61" s="5" t="s">
        <v>86</v>
      </c>
      <c r="K61" s="5" t="s">
        <v>22</v>
      </c>
      <c r="L61" s="5" t="s">
        <v>39</v>
      </c>
      <c r="M61" s="5" t="s">
        <v>90</v>
      </c>
      <c r="N61" s="5" t="s">
        <v>25</v>
      </c>
    </row>
    <row r="62" spans="1:14" ht="42.75">
      <c r="A62" s="5" t="s">
        <v>198</v>
      </c>
      <c r="B62" s="5" t="s">
        <v>15</v>
      </c>
      <c r="C62" s="5" t="s">
        <v>199</v>
      </c>
      <c r="D62" s="5" t="s">
        <v>117</v>
      </c>
      <c r="E62" s="5" t="s">
        <v>200</v>
      </c>
      <c r="F62" s="5" t="s">
        <v>19</v>
      </c>
      <c r="G62" s="5" t="s">
        <v>200</v>
      </c>
      <c r="H62" s="5" t="s">
        <v>20</v>
      </c>
      <c r="I62" s="5" t="s">
        <v>21</v>
      </c>
      <c r="J62" s="5" t="s">
        <v>200</v>
      </c>
      <c r="K62" s="5" t="s">
        <v>22</v>
      </c>
      <c r="L62" s="5" t="s">
        <v>23</v>
      </c>
      <c r="M62" s="5" t="s">
        <v>24</v>
      </c>
      <c r="N62" s="5" t="s">
        <v>25</v>
      </c>
    </row>
    <row r="63" spans="1:14" ht="57">
      <c r="A63" s="5" t="s">
        <v>198</v>
      </c>
      <c r="B63" s="5" t="s">
        <v>26</v>
      </c>
      <c r="C63" s="5" t="s">
        <v>201</v>
      </c>
      <c r="D63" s="5" t="s">
        <v>202</v>
      </c>
      <c r="E63" s="5" t="s">
        <v>203</v>
      </c>
      <c r="F63" s="5" t="s">
        <v>19</v>
      </c>
      <c r="G63" s="5" t="s">
        <v>203</v>
      </c>
      <c r="H63" s="5" t="s">
        <v>29</v>
      </c>
      <c r="I63" s="5" t="s">
        <v>30</v>
      </c>
      <c r="J63" s="5" t="s">
        <v>203</v>
      </c>
      <c r="K63" s="5" t="s">
        <v>22</v>
      </c>
      <c r="L63" s="5" t="s">
        <v>23</v>
      </c>
      <c r="M63" s="5" t="s">
        <v>31</v>
      </c>
      <c r="N63" s="5" t="s">
        <v>25</v>
      </c>
    </row>
    <row r="64" spans="1:14" ht="57">
      <c r="A64" s="5" t="s">
        <v>198</v>
      </c>
      <c r="B64" s="5" t="s">
        <v>32</v>
      </c>
      <c r="C64" s="5" t="s">
        <v>204</v>
      </c>
      <c r="D64" s="5" t="s">
        <v>205</v>
      </c>
      <c r="E64" s="5" t="s">
        <v>206</v>
      </c>
      <c r="F64" s="5" t="s">
        <v>19</v>
      </c>
      <c r="G64" s="5" t="s">
        <v>206</v>
      </c>
      <c r="H64" s="5" t="s">
        <v>37</v>
      </c>
      <c r="I64" s="5" t="s">
        <v>38</v>
      </c>
      <c r="J64" s="5" t="s">
        <v>206</v>
      </c>
      <c r="K64" s="5" t="s">
        <v>22</v>
      </c>
      <c r="L64" s="5" t="s">
        <v>39</v>
      </c>
      <c r="M64" s="5" t="s">
        <v>40</v>
      </c>
      <c r="N64" s="5" t="s">
        <v>25</v>
      </c>
    </row>
    <row r="65" spans="1:14" ht="42.75">
      <c r="A65" s="5" t="s">
        <v>198</v>
      </c>
      <c r="B65" s="5" t="s">
        <v>41</v>
      </c>
      <c r="C65" s="5" t="s">
        <v>207</v>
      </c>
      <c r="D65" s="5" t="s">
        <v>208</v>
      </c>
      <c r="E65" s="5" t="s">
        <v>209</v>
      </c>
      <c r="F65" s="5" t="s">
        <v>19</v>
      </c>
      <c r="G65" s="5" t="s">
        <v>209</v>
      </c>
      <c r="H65" s="5" t="s">
        <v>45</v>
      </c>
      <c r="I65" s="5" t="s">
        <v>21</v>
      </c>
      <c r="J65" s="5" t="s">
        <v>209</v>
      </c>
      <c r="K65" s="5" t="s">
        <v>22</v>
      </c>
      <c r="L65" s="5" t="s">
        <v>39</v>
      </c>
      <c r="M65" s="5" t="s">
        <v>46</v>
      </c>
      <c r="N65" s="5" t="s">
        <v>25</v>
      </c>
    </row>
    <row r="66" spans="1:14" ht="42.75">
      <c r="A66" s="5" t="s">
        <v>198</v>
      </c>
      <c r="B66" s="5" t="s">
        <v>47</v>
      </c>
      <c r="C66" s="5" t="s">
        <v>210</v>
      </c>
      <c r="D66" s="5" t="s">
        <v>211</v>
      </c>
      <c r="E66" s="5" t="s">
        <v>212</v>
      </c>
      <c r="F66" s="5" t="s">
        <v>213</v>
      </c>
      <c r="G66" s="5" t="s">
        <v>212</v>
      </c>
      <c r="H66" s="5" t="s">
        <v>52</v>
      </c>
      <c r="I66" s="5" t="s">
        <v>21</v>
      </c>
      <c r="J66" s="5" t="s">
        <v>212</v>
      </c>
      <c r="K66" s="5" t="s">
        <v>22</v>
      </c>
      <c r="L66" s="5" t="s">
        <v>39</v>
      </c>
      <c r="M66" s="5" t="s">
        <v>53</v>
      </c>
      <c r="N66" s="5" t="s">
        <v>25</v>
      </c>
    </row>
    <row r="67" spans="1:14" ht="42.75">
      <c r="A67" s="5" t="s">
        <v>198</v>
      </c>
      <c r="B67" s="5" t="s">
        <v>54</v>
      </c>
      <c r="C67" s="5" t="s">
        <v>55</v>
      </c>
      <c r="D67" s="5" t="s">
        <v>56</v>
      </c>
      <c r="E67" s="5" t="s">
        <v>57</v>
      </c>
      <c r="F67" s="5" t="s">
        <v>58</v>
      </c>
      <c r="G67" s="5" t="s">
        <v>57</v>
      </c>
      <c r="H67" s="5" t="s">
        <v>59</v>
      </c>
      <c r="I67" s="5" t="s">
        <v>60</v>
      </c>
      <c r="J67" s="5" t="s">
        <v>57</v>
      </c>
      <c r="K67" s="5" t="s">
        <v>22</v>
      </c>
      <c r="L67" s="5" t="s">
        <v>61</v>
      </c>
      <c r="M67" s="5" t="s">
        <v>62</v>
      </c>
      <c r="N67" s="5" t="s">
        <v>25</v>
      </c>
    </row>
    <row r="68" spans="1:14" ht="42.75">
      <c r="A68" s="5" t="s">
        <v>198</v>
      </c>
      <c r="B68" s="5" t="s">
        <v>63</v>
      </c>
      <c r="C68" s="5" t="s">
        <v>214</v>
      </c>
      <c r="D68" s="5" t="s">
        <v>215</v>
      </c>
      <c r="E68" s="5" t="s">
        <v>216</v>
      </c>
      <c r="F68" s="5" t="s">
        <v>217</v>
      </c>
      <c r="G68" s="5" t="s">
        <v>216</v>
      </c>
      <c r="H68" s="5" t="s">
        <v>67</v>
      </c>
      <c r="I68" s="5" t="s">
        <v>38</v>
      </c>
      <c r="J68" s="5" t="s">
        <v>216</v>
      </c>
      <c r="K68" s="5" t="s">
        <v>22</v>
      </c>
      <c r="L68" s="5" t="s">
        <v>61</v>
      </c>
      <c r="M68" s="5" t="s">
        <v>68</v>
      </c>
      <c r="N68" s="5" t="s">
        <v>25</v>
      </c>
    </row>
    <row r="69" spans="1:14" ht="42.75">
      <c r="A69" s="5" t="s">
        <v>198</v>
      </c>
      <c r="B69" s="5" t="s">
        <v>69</v>
      </c>
      <c r="C69" s="5" t="s">
        <v>218</v>
      </c>
      <c r="D69" s="5" t="s">
        <v>219</v>
      </c>
      <c r="E69" s="5" t="s">
        <v>220</v>
      </c>
      <c r="F69" s="5" t="s">
        <v>19</v>
      </c>
      <c r="G69" s="5" t="s">
        <v>220</v>
      </c>
      <c r="H69" s="5" t="s">
        <v>73</v>
      </c>
      <c r="I69" s="5" t="s">
        <v>38</v>
      </c>
      <c r="J69" s="5" t="s">
        <v>220</v>
      </c>
      <c r="K69" s="5" t="s">
        <v>22</v>
      </c>
      <c r="L69" s="5" t="s">
        <v>61</v>
      </c>
      <c r="M69" s="5" t="s">
        <v>74</v>
      </c>
      <c r="N69" s="5" t="s">
        <v>25</v>
      </c>
    </row>
    <row r="70" spans="1:14" ht="42.75">
      <c r="A70" s="5" t="s">
        <v>198</v>
      </c>
      <c r="B70" s="5" t="s">
        <v>75</v>
      </c>
      <c r="C70" s="5" t="s">
        <v>76</v>
      </c>
      <c r="D70" s="5" t="s">
        <v>77</v>
      </c>
      <c r="E70" s="5" t="s">
        <v>78</v>
      </c>
      <c r="F70" s="5" t="s">
        <v>79</v>
      </c>
      <c r="G70" s="5" t="s">
        <v>78</v>
      </c>
      <c r="H70" s="5" t="s">
        <v>80</v>
      </c>
      <c r="I70" s="5" t="s">
        <v>81</v>
      </c>
      <c r="J70" s="5" t="s">
        <v>78</v>
      </c>
      <c r="K70" s="5" t="s">
        <v>22</v>
      </c>
      <c r="L70" s="5" t="s">
        <v>61</v>
      </c>
      <c r="M70" s="5" t="s">
        <v>82</v>
      </c>
      <c r="N70" s="5" t="s">
        <v>25</v>
      </c>
    </row>
    <row r="71" spans="1:14" ht="42.75">
      <c r="A71" s="5" t="s">
        <v>198</v>
      </c>
      <c r="B71" s="5" t="s">
        <v>83</v>
      </c>
      <c r="C71" s="5" t="s">
        <v>84</v>
      </c>
      <c r="D71" s="5" t="s">
        <v>85</v>
      </c>
      <c r="E71" s="5" t="s">
        <v>86</v>
      </c>
      <c r="F71" s="5" t="s">
        <v>87</v>
      </c>
      <c r="G71" s="5" t="s">
        <v>86</v>
      </c>
      <c r="H71" s="5" t="s">
        <v>88</v>
      </c>
      <c r="I71" s="5" t="s">
        <v>89</v>
      </c>
      <c r="J71" s="5" t="s">
        <v>86</v>
      </c>
      <c r="K71" s="5" t="s">
        <v>22</v>
      </c>
      <c r="L71" s="5" t="s">
        <v>39</v>
      </c>
      <c r="M71" s="5" t="s">
        <v>90</v>
      </c>
      <c r="N71" s="5" t="s">
        <v>25</v>
      </c>
    </row>
    <row r="72" spans="1:14" ht="42.75">
      <c r="A72" s="5" t="s">
        <v>221</v>
      </c>
      <c r="B72" s="5" t="s">
        <v>15</v>
      </c>
      <c r="C72" s="5" t="s">
        <v>222</v>
      </c>
      <c r="D72" s="5" t="s">
        <v>223</v>
      </c>
      <c r="E72" s="5" t="s">
        <v>224</v>
      </c>
      <c r="F72" s="5" t="s">
        <v>19</v>
      </c>
      <c r="G72" s="5" t="s">
        <v>224</v>
      </c>
      <c r="H72" s="5" t="s">
        <v>20</v>
      </c>
      <c r="I72" s="5" t="s">
        <v>21</v>
      </c>
      <c r="J72" s="5" t="s">
        <v>224</v>
      </c>
      <c r="K72" s="5" t="s">
        <v>22</v>
      </c>
      <c r="L72" s="5" t="s">
        <v>23</v>
      </c>
      <c r="M72" s="5" t="s">
        <v>24</v>
      </c>
      <c r="N72" s="5" t="s">
        <v>25</v>
      </c>
    </row>
    <row r="73" spans="1:14" ht="42.75">
      <c r="A73" s="5" t="s">
        <v>221</v>
      </c>
      <c r="B73" s="5" t="s">
        <v>26</v>
      </c>
      <c r="C73" s="5" t="s">
        <v>225</v>
      </c>
      <c r="D73" s="5" t="s">
        <v>226</v>
      </c>
      <c r="E73" s="5" t="s">
        <v>227</v>
      </c>
      <c r="F73" s="5" t="s">
        <v>19</v>
      </c>
      <c r="G73" s="5" t="s">
        <v>227</v>
      </c>
      <c r="H73" s="5" t="s">
        <v>29</v>
      </c>
      <c r="I73" s="5" t="s">
        <v>30</v>
      </c>
      <c r="J73" s="5" t="s">
        <v>227</v>
      </c>
      <c r="K73" s="5" t="s">
        <v>22</v>
      </c>
      <c r="L73" s="5" t="s">
        <v>23</v>
      </c>
      <c r="M73" s="5" t="s">
        <v>31</v>
      </c>
      <c r="N73" s="5" t="s">
        <v>25</v>
      </c>
    </row>
    <row r="74" spans="1:14" ht="42.75">
      <c r="A74" s="5" t="s">
        <v>221</v>
      </c>
      <c r="B74" s="5" t="s">
        <v>32</v>
      </c>
      <c r="C74" s="5" t="s">
        <v>222</v>
      </c>
      <c r="D74" s="5" t="s">
        <v>228</v>
      </c>
      <c r="E74" s="5" t="s">
        <v>224</v>
      </c>
      <c r="F74" s="5" t="s">
        <v>19</v>
      </c>
      <c r="G74" s="5" t="s">
        <v>224</v>
      </c>
      <c r="H74" s="5" t="s">
        <v>37</v>
      </c>
      <c r="I74" s="5" t="s">
        <v>38</v>
      </c>
      <c r="J74" s="5" t="s">
        <v>224</v>
      </c>
      <c r="K74" s="5" t="s">
        <v>22</v>
      </c>
      <c r="L74" s="5" t="s">
        <v>39</v>
      </c>
      <c r="M74" s="5" t="s">
        <v>40</v>
      </c>
      <c r="N74" s="5" t="s">
        <v>25</v>
      </c>
    </row>
    <row r="75" spans="1:14" ht="42.75">
      <c r="A75" s="5" t="s">
        <v>221</v>
      </c>
      <c r="B75" s="5" t="s">
        <v>41</v>
      </c>
      <c r="C75" s="5" t="s">
        <v>229</v>
      </c>
      <c r="D75" s="5" t="s">
        <v>230</v>
      </c>
      <c r="E75" s="5" t="s">
        <v>231</v>
      </c>
      <c r="F75" s="5" t="s">
        <v>19</v>
      </c>
      <c r="G75" s="5" t="s">
        <v>231</v>
      </c>
      <c r="H75" s="5" t="s">
        <v>45</v>
      </c>
      <c r="I75" s="5" t="s">
        <v>21</v>
      </c>
      <c r="J75" s="5" t="s">
        <v>231</v>
      </c>
      <c r="K75" s="5" t="s">
        <v>22</v>
      </c>
      <c r="L75" s="5" t="s">
        <v>39</v>
      </c>
      <c r="M75" s="5" t="s">
        <v>46</v>
      </c>
      <c r="N75" s="5" t="s">
        <v>25</v>
      </c>
    </row>
    <row r="76" spans="1:14" ht="42.75">
      <c r="A76" s="5" t="s">
        <v>221</v>
      </c>
      <c r="B76" s="5" t="s">
        <v>47</v>
      </c>
      <c r="C76" s="5" t="s">
        <v>232</v>
      </c>
      <c r="D76" s="5" t="s">
        <v>233</v>
      </c>
      <c r="E76" s="5" t="s">
        <v>234</v>
      </c>
      <c r="F76" s="5" t="s">
        <v>235</v>
      </c>
      <c r="G76" s="5" t="s">
        <v>234</v>
      </c>
      <c r="H76" s="5" t="s">
        <v>52</v>
      </c>
      <c r="I76" s="5" t="s">
        <v>21</v>
      </c>
      <c r="J76" s="5" t="s">
        <v>234</v>
      </c>
      <c r="K76" s="5" t="s">
        <v>22</v>
      </c>
      <c r="L76" s="5" t="s">
        <v>39</v>
      </c>
      <c r="M76" s="5" t="s">
        <v>53</v>
      </c>
      <c r="N76" s="5" t="s">
        <v>25</v>
      </c>
    </row>
    <row r="77" spans="1:14" ht="42.75">
      <c r="A77" s="5" t="s">
        <v>221</v>
      </c>
      <c r="B77" s="5" t="s">
        <v>54</v>
      </c>
      <c r="C77" s="5" t="s">
        <v>55</v>
      </c>
      <c r="D77" s="5" t="s">
        <v>56</v>
      </c>
      <c r="E77" s="5" t="s">
        <v>57</v>
      </c>
      <c r="F77" s="5" t="s">
        <v>58</v>
      </c>
      <c r="G77" s="5" t="s">
        <v>57</v>
      </c>
      <c r="H77" s="5" t="s">
        <v>59</v>
      </c>
      <c r="I77" s="5" t="s">
        <v>60</v>
      </c>
      <c r="J77" s="5" t="s">
        <v>57</v>
      </c>
      <c r="K77" s="5" t="s">
        <v>22</v>
      </c>
      <c r="L77" s="5" t="s">
        <v>61</v>
      </c>
      <c r="M77" s="5" t="s">
        <v>62</v>
      </c>
      <c r="N77" s="5" t="s">
        <v>25</v>
      </c>
    </row>
    <row r="78" spans="1:14" ht="42.75">
      <c r="A78" s="5" t="s">
        <v>221</v>
      </c>
      <c r="B78" s="5" t="s">
        <v>63</v>
      </c>
      <c r="C78" s="5" t="s">
        <v>236</v>
      </c>
      <c r="D78" s="5" t="s">
        <v>237</v>
      </c>
      <c r="E78" s="5" t="s">
        <v>238</v>
      </c>
      <c r="F78" s="5" t="s">
        <v>19</v>
      </c>
      <c r="G78" s="5" t="s">
        <v>238</v>
      </c>
      <c r="H78" s="5" t="s">
        <v>67</v>
      </c>
      <c r="I78" s="5" t="s">
        <v>38</v>
      </c>
      <c r="J78" s="5" t="s">
        <v>238</v>
      </c>
      <c r="K78" s="5" t="s">
        <v>22</v>
      </c>
      <c r="L78" s="5" t="s">
        <v>61</v>
      </c>
      <c r="M78" s="5" t="s">
        <v>68</v>
      </c>
      <c r="N78" s="5" t="s">
        <v>25</v>
      </c>
    </row>
    <row r="79" spans="1:14" ht="42.75">
      <c r="A79" s="5" t="s">
        <v>221</v>
      </c>
      <c r="B79" s="5" t="s">
        <v>69</v>
      </c>
      <c r="C79" s="5" t="s">
        <v>222</v>
      </c>
      <c r="D79" s="5" t="s">
        <v>239</v>
      </c>
      <c r="E79" s="5" t="s">
        <v>224</v>
      </c>
      <c r="F79" s="5" t="s">
        <v>19</v>
      </c>
      <c r="G79" s="5" t="s">
        <v>224</v>
      </c>
      <c r="H79" s="5" t="s">
        <v>73</v>
      </c>
      <c r="I79" s="5" t="s">
        <v>38</v>
      </c>
      <c r="J79" s="5" t="s">
        <v>224</v>
      </c>
      <c r="K79" s="5" t="s">
        <v>22</v>
      </c>
      <c r="L79" s="5" t="s">
        <v>61</v>
      </c>
      <c r="M79" s="5" t="s">
        <v>74</v>
      </c>
      <c r="N79" s="5" t="s">
        <v>25</v>
      </c>
    </row>
    <row r="80" spans="1:14" ht="42.75">
      <c r="A80" s="5" t="s">
        <v>221</v>
      </c>
      <c r="B80" s="5" t="s">
        <v>75</v>
      </c>
      <c r="C80" s="5" t="s">
        <v>76</v>
      </c>
      <c r="D80" s="5" t="s">
        <v>77</v>
      </c>
      <c r="E80" s="5" t="s">
        <v>78</v>
      </c>
      <c r="F80" s="5" t="s">
        <v>79</v>
      </c>
      <c r="G80" s="5" t="s">
        <v>78</v>
      </c>
      <c r="H80" s="5" t="s">
        <v>80</v>
      </c>
      <c r="I80" s="5" t="s">
        <v>81</v>
      </c>
      <c r="J80" s="5" t="s">
        <v>78</v>
      </c>
      <c r="K80" s="5" t="s">
        <v>22</v>
      </c>
      <c r="L80" s="5" t="s">
        <v>61</v>
      </c>
      <c r="M80" s="5" t="s">
        <v>82</v>
      </c>
      <c r="N80" s="5" t="s">
        <v>25</v>
      </c>
    </row>
    <row r="81" spans="1:14" ht="42.75">
      <c r="A81" s="5" t="s">
        <v>221</v>
      </c>
      <c r="B81" s="5" t="s">
        <v>83</v>
      </c>
      <c r="C81" s="5" t="s">
        <v>84</v>
      </c>
      <c r="D81" s="5" t="s">
        <v>85</v>
      </c>
      <c r="E81" s="5" t="s">
        <v>86</v>
      </c>
      <c r="F81" s="5" t="s">
        <v>87</v>
      </c>
      <c r="G81" s="5" t="s">
        <v>86</v>
      </c>
      <c r="H81" s="5" t="s">
        <v>88</v>
      </c>
      <c r="I81" s="5" t="s">
        <v>89</v>
      </c>
      <c r="J81" s="5" t="s">
        <v>86</v>
      </c>
      <c r="K81" s="5" t="s">
        <v>22</v>
      </c>
      <c r="L81" s="5" t="s">
        <v>39</v>
      </c>
      <c r="M81" s="5" t="s">
        <v>90</v>
      </c>
      <c r="N81" s="5" t="s">
        <v>25</v>
      </c>
    </row>
    <row r="82" spans="1:14" ht="42.75">
      <c r="A82" s="5" t="s">
        <v>240</v>
      </c>
      <c r="B82" s="5" t="s">
        <v>15</v>
      </c>
      <c r="C82" s="5" t="s">
        <v>241</v>
      </c>
      <c r="D82" s="5" t="s">
        <v>242</v>
      </c>
      <c r="E82" s="5" t="s">
        <v>243</v>
      </c>
      <c r="F82" s="5" t="s">
        <v>244</v>
      </c>
      <c r="G82" s="5" t="s">
        <v>243</v>
      </c>
      <c r="H82" s="5" t="s">
        <v>20</v>
      </c>
      <c r="I82" s="5" t="s">
        <v>21</v>
      </c>
      <c r="J82" s="5" t="s">
        <v>243</v>
      </c>
      <c r="K82" s="5" t="s">
        <v>22</v>
      </c>
      <c r="L82" s="5" t="s">
        <v>23</v>
      </c>
      <c r="M82" s="5" t="s">
        <v>24</v>
      </c>
      <c r="N82" s="5" t="s">
        <v>25</v>
      </c>
    </row>
    <row r="83" spans="1:14" ht="42.75">
      <c r="A83" s="5" t="s">
        <v>240</v>
      </c>
      <c r="B83" s="5" t="s">
        <v>26</v>
      </c>
      <c r="C83" s="5" t="s">
        <v>245</v>
      </c>
      <c r="D83" s="5" t="s">
        <v>246</v>
      </c>
      <c r="E83" s="5" t="s">
        <v>247</v>
      </c>
      <c r="F83" s="5" t="s">
        <v>244</v>
      </c>
      <c r="G83" s="5" t="s">
        <v>247</v>
      </c>
      <c r="H83" s="5" t="s">
        <v>29</v>
      </c>
      <c r="I83" s="5" t="s">
        <v>30</v>
      </c>
      <c r="J83" s="5" t="s">
        <v>247</v>
      </c>
      <c r="K83" s="5" t="s">
        <v>22</v>
      </c>
      <c r="L83" s="5" t="s">
        <v>23</v>
      </c>
      <c r="M83" s="5" t="s">
        <v>31</v>
      </c>
      <c r="N83" s="5" t="s">
        <v>25</v>
      </c>
    </row>
    <row r="84" spans="1:14" ht="42.75">
      <c r="A84" s="5" t="s">
        <v>240</v>
      </c>
      <c r="B84" s="5" t="s">
        <v>32</v>
      </c>
      <c r="C84" s="5" t="s">
        <v>248</v>
      </c>
      <c r="D84" s="5" t="s">
        <v>249</v>
      </c>
      <c r="E84" s="5" t="s">
        <v>243</v>
      </c>
      <c r="F84" s="5" t="s">
        <v>244</v>
      </c>
      <c r="G84" s="5" t="s">
        <v>243</v>
      </c>
      <c r="H84" s="5" t="s">
        <v>37</v>
      </c>
      <c r="I84" s="5" t="s">
        <v>38</v>
      </c>
      <c r="J84" s="5" t="s">
        <v>243</v>
      </c>
      <c r="K84" s="5" t="s">
        <v>22</v>
      </c>
      <c r="L84" s="5" t="s">
        <v>39</v>
      </c>
      <c r="M84" s="5" t="s">
        <v>40</v>
      </c>
      <c r="N84" s="5" t="s">
        <v>25</v>
      </c>
    </row>
    <row r="85" spans="1:14" ht="42.75">
      <c r="A85" s="5" t="s">
        <v>240</v>
      </c>
      <c r="B85" s="5" t="s">
        <v>41</v>
      </c>
      <c r="C85" s="5" t="s">
        <v>229</v>
      </c>
      <c r="D85" s="5" t="s">
        <v>250</v>
      </c>
      <c r="E85" s="5" t="s">
        <v>231</v>
      </c>
      <c r="F85" s="5" t="s">
        <v>19</v>
      </c>
      <c r="G85" s="5" t="s">
        <v>231</v>
      </c>
      <c r="H85" s="5" t="s">
        <v>45</v>
      </c>
      <c r="I85" s="5" t="s">
        <v>21</v>
      </c>
      <c r="J85" s="5" t="s">
        <v>231</v>
      </c>
      <c r="K85" s="5" t="s">
        <v>22</v>
      </c>
      <c r="L85" s="5" t="s">
        <v>39</v>
      </c>
      <c r="M85" s="5" t="s">
        <v>46</v>
      </c>
      <c r="N85" s="5" t="s">
        <v>25</v>
      </c>
    </row>
    <row r="86" spans="1:14" ht="42.75">
      <c r="A86" s="5" t="s">
        <v>240</v>
      </c>
      <c r="B86" s="5" t="s">
        <v>47</v>
      </c>
      <c r="C86" s="5" t="s">
        <v>251</v>
      </c>
      <c r="D86" s="5" t="s">
        <v>252</v>
      </c>
      <c r="E86" s="5" t="s">
        <v>253</v>
      </c>
      <c r="F86" s="5" t="s">
        <v>51</v>
      </c>
      <c r="G86" s="5" t="s">
        <v>253</v>
      </c>
      <c r="H86" s="5" t="s">
        <v>52</v>
      </c>
      <c r="I86" s="5" t="s">
        <v>21</v>
      </c>
      <c r="J86" s="5" t="s">
        <v>253</v>
      </c>
      <c r="K86" s="5" t="s">
        <v>22</v>
      </c>
      <c r="L86" s="5" t="s">
        <v>39</v>
      </c>
      <c r="M86" s="5" t="s">
        <v>53</v>
      </c>
      <c r="N86" s="5" t="s">
        <v>25</v>
      </c>
    </row>
    <row r="87" spans="1:14" ht="42.75">
      <c r="A87" s="5" t="s">
        <v>240</v>
      </c>
      <c r="B87" s="5" t="s">
        <v>54</v>
      </c>
      <c r="C87" s="5" t="s">
        <v>55</v>
      </c>
      <c r="D87" s="5" t="s">
        <v>56</v>
      </c>
      <c r="E87" s="5" t="s">
        <v>57</v>
      </c>
      <c r="F87" s="5" t="s">
        <v>58</v>
      </c>
      <c r="G87" s="5" t="s">
        <v>57</v>
      </c>
      <c r="H87" s="5" t="s">
        <v>59</v>
      </c>
      <c r="I87" s="5" t="s">
        <v>60</v>
      </c>
      <c r="J87" s="5" t="s">
        <v>57</v>
      </c>
      <c r="K87" s="5" t="s">
        <v>22</v>
      </c>
      <c r="L87" s="5" t="s">
        <v>61</v>
      </c>
      <c r="M87" s="5" t="s">
        <v>62</v>
      </c>
      <c r="N87" s="5" t="s">
        <v>25</v>
      </c>
    </row>
    <row r="88" spans="1:14" ht="42.75">
      <c r="A88" s="5" t="s">
        <v>240</v>
      </c>
      <c r="B88" s="5" t="s">
        <v>63</v>
      </c>
      <c r="C88" s="5" t="s">
        <v>172</v>
      </c>
      <c r="D88" s="5" t="s">
        <v>254</v>
      </c>
      <c r="E88" s="5" t="s">
        <v>174</v>
      </c>
      <c r="F88" s="5" t="s">
        <v>175</v>
      </c>
      <c r="G88" s="5" t="s">
        <v>174</v>
      </c>
      <c r="H88" s="5" t="s">
        <v>67</v>
      </c>
      <c r="I88" s="5" t="s">
        <v>38</v>
      </c>
      <c r="J88" s="5" t="s">
        <v>174</v>
      </c>
      <c r="K88" s="5" t="s">
        <v>22</v>
      </c>
      <c r="L88" s="5" t="s">
        <v>61</v>
      </c>
      <c r="M88" s="5" t="s">
        <v>68</v>
      </c>
      <c r="N88" s="5" t="s">
        <v>25</v>
      </c>
    </row>
    <row r="89" spans="1:14" ht="42.75">
      <c r="A89" s="5" t="s">
        <v>240</v>
      </c>
      <c r="B89" s="5" t="s">
        <v>69</v>
      </c>
      <c r="C89" s="5" t="s">
        <v>241</v>
      </c>
      <c r="D89" s="5" t="s">
        <v>255</v>
      </c>
      <c r="E89" s="5" t="s">
        <v>243</v>
      </c>
      <c r="F89" s="5" t="s">
        <v>244</v>
      </c>
      <c r="G89" s="5" t="s">
        <v>243</v>
      </c>
      <c r="H89" s="5" t="s">
        <v>73</v>
      </c>
      <c r="I89" s="5" t="s">
        <v>38</v>
      </c>
      <c r="J89" s="5" t="s">
        <v>243</v>
      </c>
      <c r="K89" s="5" t="s">
        <v>22</v>
      </c>
      <c r="L89" s="5" t="s">
        <v>61</v>
      </c>
      <c r="M89" s="5" t="s">
        <v>74</v>
      </c>
      <c r="N89" s="5" t="s">
        <v>25</v>
      </c>
    </row>
    <row r="90" spans="1:14" ht="42.75">
      <c r="A90" s="5" t="s">
        <v>240</v>
      </c>
      <c r="B90" s="5" t="s">
        <v>75</v>
      </c>
      <c r="C90" s="5" t="s">
        <v>76</v>
      </c>
      <c r="D90" s="5" t="s">
        <v>77</v>
      </c>
      <c r="E90" s="5" t="s">
        <v>78</v>
      </c>
      <c r="F90" s="5" t="s">
        <v>79</v>
      </c>
      <c r="G90" s="5" t="s">
        <v>78</v>
      </c>
      <c r="H90" s="5" t="s">
        <v>80</v>
      </c>
      <c r="I90" s="5" t="s">
        <v>81</v>
      </c>
      <c r="J90" s="5" t="s">
        <v>78</v>
      </c>
      <c r="K90" s="5" t="s">
        <v>22</v>
      </c>
      <c r="L90" s="5" t="s">
        <v>61</v>
      </c>
      <c r="M90" s="5" t="s">
        <v>82</v>
      </c>
      <c r="N90" s="5" t="s">
        <v>25</v>
      </c>
    </row>
    <row r="91" spans="1:14" ht="42.75">
      <c r="A91" s="5" t="s">
        <v>240</v>
      </c>
      <c r="B91" s="5" t="s">
        <v>83</v>
      </c>
      <c r="C91" s="5" t="s">
        <v>84</v>
      </c>
      <c r="D91" s="5" t="s">
        <v>85</v>
      </c>
      <c r="E91" s="5" t="s">
        <v>86</v>
      </c>
      <c r="F91" s="5" t="s">
        <v>87</v>
      </c>
      <c r="G91" s="5" t="s">
        <v>86</v>
      </c>
      <c r="H91" s="5" t="s">
        <v>88</v>
      </c>
      <c r="I91" s="5" t="s">
        <v>89</v>
      </c>
      <c r="J91" s="5" t="s">
        <v>86</v>
      </c>
      <c r="K91" s="5" t="s">
        <v>22</v>
      </c>
      <c r="L91" s="5" t="s">
        <v>39</v>
      </c>
      <c r="M91" s="5" t="s">
        <v>90</v>
      </c>
      <c r="N91" s="5" t="s">
        <v>25</v>
      </c>
    </row>
    <row r="92" spans="1:14" ht="42.75">
      <c r="A92" s="5" t="s">
        <v>256</v>
      </c>
      <c r="B92" s="5" t="s">
        <v>15</v>
      </c>
      <c r="C92" s="5" t="s">
        <v>257</v>
      </c>
      <c r="D92" s="5" t="s">
        <v>258</v>
      </c>
      <c r="E92" s="5" t="s">
        <v>259</v>
      </c>
      <c r="F92" s="5" t="s">
        <v>19</v>
      </c>
      <c r="G92" s="5" t="s">
        <v>259</v>
      </c>
      <c r="H92" s="5" t="s">
        <v>20</v>
      </c>
      <c r="I92" s="5" t="s">
        <v>21</v>
      </c>
      <c r="J92" s="5" t="s">
        <v>259</v>
      </c>
      <c r="K92" s="5" t="s">
        <v>22</v>
      </c>
      <c r="L92" s="5" t="s">
        <v>23</v>
      </c>
      <c r="M92" s="5" t="s">
        <v>24</v>
      </c>
      <c r="N92" s="5" t="s">
        <v>25</v>
      </c>
    </row>
    <row r="93" spans="1:14" ht="57">
      <c r="A93" s="5" t="s">
        <v>256</v>
      </c>
      <c r="B93" s="5" t="s">
        <v>26</v>
      </c>
      <c r="C93" s="5" t="s">
        <v>260</v>
      </c>
      <c r="D93" s="5" t="s">
        <v>261</v>
      </c>
      <c r="E93" s="5" t="s">
        <v>262</v>
      </c>
      <c r="F93" s="5" t="s">
        <v>19</v>
      </c>
      <c r="G93" s="5" t="s">
        <v>262</v>
      </c>
      <c r="H93" s="5" t="s">
        <v>29</v>
      </c>
      <c r="I93" s="5" t="s">
        <v>30</v>
      </c>
      <c r="J93" s="5" t="s">
        <v>262</v>
      </c>
      <c r="K93" s="5" t="s">
        <v>22</v>
      </c>
      <c r="L93" s="5" t="s">
        <v>23</v>
      </c>
      <c r="M93" s="5" t="s">
        <v>31</v>
      </c>
      <c r="N93" s="5" t="s">
        <v>25</v>
      </c>
    </row>
    <row r="94" spans="1:14" ht="42.75">
      <c r="A94" s="5" t="s">
        <v>256</v>
      </c>
      <c r="B94" s="5" t="s">
        <v>32</v>
      </c>
      <c r="C94" s="5" t="s">
        <v>257</v>
      </c>
      <c r="D94" s="5" t="s">
        <v>263</v>
      </c>
      <c r="E94" s="5" t="s">
        <v>259</v>
      </c>
      <c r="F94" s="5" t="s">
        <v>19</v>
      </c>
      <c r="G94" s="5" t="s">
        <v>259</v>
      </c>
      <c r="H94" s="5" t="s">
        <v>37</v>
      </c>
      <c r="I94" s="5" t="s">
        <v>38</v>
      </c>
      <c r="J94" s="5" t="s">
        <v>259</v>
      </c>
      <c r="K94" s="5" t="s">
        <v>22</v>
      </c>
      <c r="L94" s="5" t="s">
        <v>39</v>
      </c>
      <c r="M94" s="5" t="s">
        <v>40</v>
      </c>
      <c r="N94" s="5" t="s">
        <v>25</v>
      </c>
    </row>
    <row r="95" spans="1:14" ht="42.75">
      <c r="A95" s="5" t="s">
        <v>256</v>
      </c>
      <c r="B95" s="5" t="s">
        <v>41</v>
      </c>
      <c r="C95" s="5" t="s">
        <v>146</v>
      </c>
      <c r="D95" s="5" t="s">
        <v>264</v>
      </c>
      <c r="E95" s="5" t="s">
        <v>148</v>
      </c>
      <c r="F95" s="5" t="s">
        <v>19</v>
      </c>
      <c r="G95" s="5" t="s">
        <v>148</v>
      </c>
      <c r="H95" s="5" t="s">
        <v>45</v>
      </c>
      <c r="I95" s="5" t="s">
        <v>21</v>
      </c>
      <c r="J95" s="5" t="s">
        <v>148</v>
      </c>
      <c r="K95" s="5" t="s">
        <v>22</v>
      </c>
      <c r="L95" s="5" t="s">
        <v>39</v>
      </c>
      <c r="M95" s="5" t="s">
        <v>46</v>
      </c>
      <c r="N95" s="5" t="s">
        <v>25</v>
      </c>
    </row>
    <row r="96" spans="1:14" ht="42.75">
      <c r="A96" s="5" t="s">
        <v>256</v>
      </c>
      <c r="B96" s="5" t="s">
        <v>47</v>
      </c>
      <c r="C96" s="5" t="s">
        <v>265</v>
      </c>
      <c r="D96" s="5" t="s">
        <v>266</v>
      </c>
      <c r="E96" s="5" t="s">
        <v>193</v>
      </c>
      <c r="F96" s="5" t="s">
        <v>51</v>
      </c>
      <c r="G96" s="5" t="s">
        <v>193</v>
      </c>
      <c r="H96" s="5" t="s">
        <v>52</v>
      </c>
      <c r="I96" s="5" t="s">
        <v>21</v>
      </c>
      <c r="J96" s="5" t="s">
        <v>193</v>
      </c>
      <c r="K96" s="5" t="s">
        <v>22</v>
      </c>
      <c r="L96" s="5" t="s">
        <v>39</v>
      </c>
      <c r="M96" s="5" t="s">
        <v>53</v>
      </c>
      <c r="N96" s="5" t="s">
        <v>25</v>
      </c>
    </row>
    <row r="97" spans="1:14" ht="42.75">
      <c r="A97" s="5" t="s">
        <v>256</v>
      </c>
      <c r="B97" s="5" t="s">
        <v>54</v>
      </c>
      <c r="C97" s="5" t="s">
        <v>55</v>
      </c>
      <c r="D97" s="5" t="s">
        <v>56</v>
      </c>
      <c r="E97" s="5" t="s">
        <v>57</v>
      </c>
      <c r="F97" s="5" t="s">
        <v>58</v>
      </c>
      <c r="G97" s="5" t="s">
        <v>57</v>
      </c>
      <c r="H97" s="5" t="s">
        <v>59</v>
      </c>
      <c r="I97" s="5" t="s">
        <v>60</v>
      </c>
      <c r="J97" s="5" t="s">
        <v>57</v>
      </c>
      <c r="K97" s="5" t="s">
        <v>22</v>
      </c>
      <c r="L97" s="5" t="s">
        <v>61</v>
      </c>
      <c r="M97" s="5" t="s">
        <v>62</v>
      </c>
      <c r="N97" s="5" t="s">
        <v>25</v>
      </c>
    </row>
    <row r="98" spans="1:14" ht="42.75">
      <c r="A98" s="5" t="s">
        <v>256</v>
      </c>
      <c r="B98" s="5" t="s">
        <v>63</v>
      </c>
      <c r="C98" s="5" t="s">
        <v>267</v>
      </c>
      <c r="D98" s="5" t="s">
        <v>268</v>
      </c>
      <c r="E98" s="5" t="s">
        <v>196</v>
      </c>
      <c r="F98" s="5" t="s">
        <v>19</v>
      </c>
      <c r="G98" s="5" t="s">
        <v>196</v>
      </c>
      <c r="H98" s="5" t="s">
        <v>67</v>
      </c>
      <c r="I98" s="5" t="s">
        <v>38</v>
      </c>
      <c r="J98" s="5" t="s">
        <v>196</v>
      </c>
      <c r="K98" s="5" t="s">
        <v>22</v>
      </c>
      <c r="L98" s="5" t="s">
        <v>61</v>
      </c>
      <c r="M98" s="5" t="s">
        <v>68</v>
      </c>
      <c r="N98" s="5" t="s">
        <v>25</v>
      </c>
    </row>
    <row r="99" spans="1:14" ht="42.75">
      <c r="A99" s="5" t="s">
        <v>256</v>
      </c>
      <c r="B99" s="5" t="s">
        <v>69</v>
      </c>
      <c r="C99" s="5" t="s">
        <v>257</v>
      </c>
      <c r="D99" s="5" t="s">
        <v>269</v>
      </c>
      <c r="E99" s="5" t="s">
        <v>259</v>
      </c>
      <c r="F99" s="5" t="s">
        <v>19</v>
      </c>
      <c r="G99" s="5" t="s">
        <v>259</v>
      </c>
      <c r="H99" s="5" t="s">
        <v>73</v>
      </c>
      <c r="I99" s="5" t="s">
        <v>38</v>
      </c>
      <c r="J99" s="5" t="s">
        <v>259</v>
      </c>
      <c r="K99" s="5" t="s">
        <v>22</v>
      </c>
      <c r="L99" s="5" t="s">
        <v>61</v>
      </c>
      <c r="M99" s="5" t="s">
        <v>74</v>
      </c>
      <c r="N99" s="5" t="s">
        <v>25</v>
      </c>
    </row>
    <row r="100" spans="1:14" ht="42.75">
      <c r="A100" s="5" t="s">
        <v>256</v>
      </c>
      <c r="B100" s="5" t="s">
        <v>75</v>
      </c>
      <c r="C100" s="5" t="s">
        <v>76</v>
      </c>
      <c r="D100" s="5" t="s">
        <v>77</v>
      </c>
      <c r="E100" s="5" t="s">
        <v>78</v>
      </c>
      <c r="F100" s="5" t="s">
        <v>79</v>
      </c>
      <c r="G100" s="5" t="s">
        <v>78</v>
      </c>
      <c r="H100" s="5" t="s">
        <v>80</v>
      </c>
      <c r="I100" s="5" t="s">
        <v>81</v>
      </c>
      <c r="J100" s="5" t="s">
        <v>78</v>
      </c>
      <c r="K100" s="5" t="s">
        <v>22</v>
      </c>
      <c r="L100" s="5" t="s">
        <v>61</v>
      </c>
      <c r="M100" s="5" t="s">
        <v>82</v>
      </c>
      <c r="N100" s="5" t="s">
        <v>25</v>
      </c>
    </row>
    <row r="101" spans="1:14" ht="42.75">
      <c r="A101" s="5" t="s">
        <v>256</v>
      </c>
      <c r="B101" s="5" t="s">
        <v>83</v>
      </c>
      <c r="C101" s="5" t="s">
        <v>84</v>
      </c>
      <c r="D101" s="5" t="s">
        <v>85</v>
      </c>
      <c r="E101" s="5" t="s">
        <v>86</v>
      </c>
      <c r="F101" s="5" t="s">
        <v>87</v>
      </c>
      <c r="G101" s="5" t="s">
        <v>86</v>
      </c>
      <c r="H101" s="5" t="s">
        <v>88</v>
      </c>
      <c r="I101" s="5" t="s">
        <v>89</v>
      </c>
      <c r="J101" s="5" t="s">
        <v>86</v>
      </c>
      <c r="K101" s="5" t="s">
        <v>22</v>
      </c>
      <c r="L101" s="5" t="s">
        <v>39</v>
      </c>
      <c r="M101" s="5" t="s">
        <v>90</v>
      </c>
      <c r="N101" s="5" t="s">
        <v>25</v>
      </c>
    </row>
    <row r="102" spans="1:14" ht="42.75">
      <c r="A102" s="5" t="s">
        <v>270</v>
      </c>
      <c r="B102" s="5" t="s">
        <v>15</v>
      </c>
      <c r="C102" s="5" t="s">
        <v>271</v>
      </c>
      <c r="D102" s="5" t="s">
        <v>272</v>
      </c>
      <c r="E102" s="5" t="s">
        <v>273</v>
      </c>
      <c r="F102" s="5" t="s">
        <v>19</v>
      </c>
      <c r="G102" s="5" t="s">
        <v>273</v>
      </c>
      <c r="H102" s="5" t="s">
        <v>20</v>
      </c>
      <c r="I102" s="5" t="s">
        <v>21</v>
      </c>
      <c r="J102" s="5" t="s">
        <v>273</v>
      </c>
      <c r="K102" s="5" t="s">
        <v>22</v>
      </c>
      <c r="L102" s="5" t="s">
        <v>23</v>
      </c>
      <c r="M102" s="5" t="s">
        <v>24</v>
      </c>
      <c r="N102" s="5" t="s">
        <v>25</v>
      </c>
    </row>
    <row r="103" spans="1:14" ht="57">
      <c r="A103" s="5" t="s">
        <v>270</v>
      </c>
      <c r="B103" s="5" t="s">
        <v>26</v>
      </c>
      <c r="C103" s="5" t="s">
        <v>274</v>
      </c>
      <c r="D103" s="5" t="s">
        <v>275</v>
      </c>
      <c r="E103" s="5" t="s">
        <v>276</v>
      </c>
      <c r="F103" s="5" t="s">
        <v>19</v>
      </c>
      <c r="G103" s="5" t="s">
        <v>276</v>
      </c>
      <c r="H103" s="5" t="s">
        <v>29</v>
      </c>
      <c r="I103" s="5" t="s">
        <v>30</v>
      </c>
      <c r="J103" s="5" t="s">
        <v>276</v>
      </c>
      <c r="K103" s="5" t="s">
        <v>22</v>
      </c>
      <c r="L103" s="5" t="s">
        <v>23</v>
      </c>
      <c r="M103" s="5" t="s">
        <v>31</v>
      </c>
      <c r="N103" s="5" t="s">
        <v>25</v>
      </c>
    </row>
    <row r="104" spans="1:14" ht="42.75">
      <c r="A104" s="5" t="s">
        <v>270</v>
      </c>
      <c r="B104" s="5" t="s">
        <v>32</v>
      </c>
      <c r="C104" s="5" t="s">
        <v>277</v>
      </c>
      <c r="D104" s="5" t="s">
        <v>278</v>
      </c>
      <c r="E104" s="5" t="s">
        <v>279</v>
      </c>
      <c r="F104" s="5" t="s">
        <v>19</v>
      </c>
      <c r="G104" s="5" t="s">
        <v>279</v>
      </c>
      <c r="H104" s="5" t="s">
        <v>37</v>
      </c>
      <c r="I104" s="5" t="s">
        <v>38</v>
      </c>
      <c r="J104" s="5" t="s">
        <v>279</v>
      </c>
      <c r="K104" s="5" t="s">
        <v>22</v>
      </c>
      <c r="L104" s="5" t="s">
        <v>39</v>
      </c>
      <c r="M104" s="5" t="s">
        <v>40</v>
      </c>
      <c r="N104" s="5" t="s">
        <v>25</v>
      </c>
    </row>
    <row r="105" spans="1:14" ht="42.75">
      <c r="A105" s="5" t="s">
        <v>270</v>
      </c>
      <c r="B105" s="5" t="s">
        <v>41</v>
      </c>
      <c r="C105" s="5" t="s">
        <v>167</v>
      </c>
      <c r="D105" s="5" t="s">
        <v>280</v>
      </c>
      <c r="E105" s="5" t="s">
        <v>168</v>
      </c>
      <c r="F105" s="5" t="s">
        <v>19</v>
      </c>
      <c r="G105" s="5" t="s">
        <v>168</v>
      </c>
      <c r="H105" s="5" t="s">
        <v>45</v>
      </c>
      <c r="I105" s="5" t="s">
        <v>21</v>
      </c>
      <c r="J105" s="5" t="s">
        <v>168</v>
      </c>
      <c r="K105" s="5" t="s">
        <v>22</v>
      </c>
      <c r="L105" s="5" t="s">
        <v>39</v>
      </c>
      <c r="M105" s="5" t="s">
        <v>46</v>
      </c>
      <c r="N105" s="5" t="s">
        <v>25</v>
      </c>
    </row>
    <row r="106" spans="1:14" ht="42.75">
      <c r="A106" s="5" t="s">
        <v>270</v>
      </c>
      <c r="B106" s="5" t="s">
        <v>47</v>
      </c>
      <c r="C106" s="5" t="s">
        <v>281</v>
      </c>
      <c r="D106" s="5" t="s">
        <v>282</v>
      </c>
      <c r="E106" s="5" t="s">
        <v>283</v>
      </c>
      <c r="F106" s="5" t="s">
        <v>51</v>
      </c>
      <c r="G106" s="5" t="s">
        <v>283</v>
      </c>
      <c r="H106" s="5" t="s">
        <v>52</v>
      </c>
      <c r="I106" s="5" t="s">
        <v>21</v>
      </c>
      <c r="J106" s="5" t="s">
        <v>283</v>
      </c>
      <c r="K106" s="5" t="s">
        <v>22</v>
      </c>
      <c r="L106" s="5" t="s">
        <v>39</v>
      </c>
      <c r="M106" s="5" t="s">
        <v>53</v>
      </c>
      <c r="N106" s="5" t="s">
        <v>25</v>
      </c>
    </row>
    <row r="107" spans="1:14" ht="42.75">
      <c r="A107" s="5" t="s">
        <v>270</v>
      </c>
      <c r="B107" s="5" t="s">
        <v>54</v>
      </c>
      <c r="C107" s="5" t="s">
        <v>55</v>
      </c>
      <c r="D107" s="5" t="s">
        <v>56</v>
      </c>
      <c r="E107" s="5" t="s">
        <v>57</v>
      </c>
      <c r="F107" s="5" t="s">
        <v>58</v>
      </c>
      <c r="G107" s="5" t="s">
        <v>57</v>
      </c>
      <c r="H107" s="5" t="s">
        <v>59</v>
      </c>
      <c r="I107" s="5" t="s">
        <v>60</v>
      </c>
      <c r="J107" s="5" t="s">
        <v>57</v>
      </c>
      <c r="K107" s="5" t="s">
        <v>22</v>
      </c>
      <c r="L107" s="5" t="s">
        <v>61</v>
      </c>
      <c r="M107" s="5" t="s">
        <v>62</v>
      </c>
      <c r="N107" s="5" t="s">
        <v>25</v>
      </c>
    </row>
    <row r="108" spans="1:14" ht="42.75">
      <c r="A108" s="5" t="s">
        <v>270</v>
      </c>
      <c r="B108" s="5" t="s">
        <v>63</v>
      </c>
      <c r="C108" s="5" t="s">
        <v>172</v>
      </c>
      <c r="D108" s="5" t="s">
        <v>284</v>
      </c>
      <c r="E108" s="5" t="s">
        <v>174</v>
      </c>
      <c r="F108" s="5" t="s">
        <v>175</v>
      </c>
      <c r="G108" s="5" t="s">
        <v>174</v>
      </c>
      <c r="H108" s="5" t="s">
        <v>67</v>
      </c>
      <c r="I108" s="5" t="s">
        <v>38</v>
      </c>
      <c r="J108" s="5" t="s">
        <v>174</v>
      </c>
      <c r="K108" s="5" t="s">
        <v>22</v>
      </c>
      <c r="L108" s="5" t="s">
        <v>61</v>
      </c>
      <c r="M108" s="5" t="s">
        <v>68</v>
      </c>
      <c r="N108" s="5" t="s">
        <v>25</v>
      </c>
    </row>
    <row r="109" spans="1:14" ht="42.75">
      <c r="A109" s="5" t="s">
        <v>270</v>
      </c>
      <c r="B109" s="5" t="s">
        <v>69</v>
      </c>
      <c r="C109" s="5" t="s">
        <v>277</v>
      </c>
      <c r="D109" s="5" t="s">
        <v>285</v>
      </c>
      <c r="E109" s="5" t="s">
        <v>279</v>
      </c>
      <c r="F109" s="5" t="s">
        <v>19</v>
      </c>
      <c r="G109" s="5" t="s">
        <v>279</v>
      </c>
      <c r="H109" s="5" t="s">
        <v>73</v>
      </c>
      <c r="I109" s="5" t="s">
        <v>38</v>
      </c>
      <c r="J109" s="5" t="s">
        <v>279</v>
      </c>
      <c r="K109" s="5" t="s">
        <v>22</v>
      </c>
      <c r="L109" s="5" t="s">
        <v>61</v>
      </c>
      <c r="M109" s="5" t="s">
        <v>74</v>
      </c>
      <c r="N109" s="5" t="s">
        <v>25</v>
      </c>
    </row>
    <row r="110" spans="1:14" ht="42.75">
      <c r="A110" s="5" t="s">
        <v>270</v>
      </c>
      <c r="B110" s="5" t="s">
        <v>75</v>
      </c>
      <c r="C110" s="5" t="s">
        <v>76</v>
      </c>
      <c r="D110" s="5" t="s">
        <v>77</v>
      </c>
      <c r="E110" s="5" t="s">
        <v>78</v>
      </c>
      <c r="F110" s="5" t="s">
        <v>79</v>
      </c>
      <c r="G110" s="5" t="s">
        <v>78</v>
      </c>
      <c r="H110" s="5" t="s">
        <v>80</v>
      </c>
      <c r="I110" s="5" t="s">
        <v>81</v>
      </c>
      <c r="J110" s="5" t="s">
        <v>78</v>
      </c>
      <c r="K110" s="5" t="s">
        <v>22</v>
      </c>
      <c r="L110" s="5" t="s">
        <v>61</v>
      </c>
      <c r="M110" s="5" t="s">
        <v>82</v>
      </c>
      <c r="N110" s="5" t="s">
        <v>25</v>
      </c>
    </row>
    <row r="111" spans="1:14" ht="42.75">
      <c r="A111" s="5" t="s">
        <v>270</v>
      </c>
      <c r="B111" s="5" t="s">
        <v>83</v>
      </c>
      <c r="C111" s="5" t="s">
        <v>84</v>
      </c>
      <c r="D111" s="5" t="s">
        <v>85</v>
      </c>
      <c r="E111" s="5" t="s">
        <v>86</v>
      </c>
      <c r="F111" s="5" t="s">
        <v>87</v>
      </c>
      <c r="G111" s="5" t="s">
        <v>86</v>
      </c>
      <c r="H111" s="5" t="s">
        <v>88</v>
      </c>
      <c r="I111" s="5" t="s">
        <v>89</v>
      </c>
      <c r="J111" s="5" t="s">
        <v>86</v>
      </c>
      <c r="K111" s="5" t="s">
        <v>22</v>
      </c>
      <c r="L111" s="5" t="s">
        <v>39</v>
      </c>
      <c r="M111" s="5" t="s">
        <v>90</v>
      </c>
      <c r="N111" s="5" t="s">
        <v>25</v>
      </c>
    </row>
    <row r="112" spans="1:14" ht="71.25">
      <c r="A112" s="5" t="s">
        <v>286</v>
      </c>
      <c r="B112" s="5" t="s">
        <v>15</v>
      </c>
      <c r="C112" s="5" t="s">
        <v>287</v>
      </c>
      <c r="D112" s="5" t="s">
        <v>288</v>
      </c>
      <c r="E112" s="5" t="s">
        <v>289</v>
      </c>
      <c r="F112" s="5" t="s">
        <v>19</v>
      </c>
      <c r="G112" s="5" t="s">
        <v>289</v>
      </c>
      <c r="H112" s="5" t="s">
        <v>20</v>
      </c>
      <c r="I112" s="5" t="s">
        <v>21</v>
      </c>
      <c r="J112" s="5" t="s">
        <v>289</v>
      </c>
      <c r="K112" s="5" t="s">
        <v>22</v>
      </c>
      <c r="L112" s="5" t="s">
        <v>23</v>
      </c>
      <c r="M112" s="5" t="s">
        <v>24</v>
      </c>
      <c r="N112" s="5" t="s">
        <v>25</v>
      </c>
    </row>
    <row r="113" spans="1:14" ht="71.25">
      <c r="A113" s="5" t="s">
        <v>286</v>
      </c>
      <c r="B113" s="5" t="s">
        <v>26</v>
      </c>
      <c r="C113" s="5" t="s">
        <v>290</v>
      </c>
      <c r="D113" s="5" t="s">
        <v>291</v>
      </c>
      <c r="E113" s="5" t="s">
        <v>289</v>
      </c>
      <c r="F113" s="5" t="s">
        <v>19</v>
      </c>
      <c r="G113" s="5" t="s">
        <v>289</v>
      </c>
      <c r="H113" s="5" t="s">
        <v>29</v>
      </c>
      <c r="I113" s="5" t="s">
        <v>30</v>
      </c>
      <c r="J113" s="5" t="s">
        <v>289</v>
      </c>
      <c r="K113" s="5" t="s">
        <v>22</v>
      </c>
      <c r="L113" s="5" t="s">
        <v>23</v>
      </c>
      <c r="M113" s="5" t="s">
        <v>31</v>
      </c>
      <c r="N113" s="5" t="s">
        <v>25</v>
      </c>
    </row>
    <row r="114" spans="1:14" ht="42.75">
      <c r="A114" s="5" t="s">
        <v>286</v>
      </c>
      <c r="B114" s="5" t="s">
        <v>32</v>
      </c>
      <c r="C114" s="5" t="s">
        <v>292</v>
      </c>
      <c r="D114" s="5" t="s">
        <v>293</v>
      </c>
      <c r="E114" s="5" t="s">
        <v>294</v>
      </c>
      <c r="F114" s="5" t="s">
        <v>19</v>
      </c>
      <c r="G114" s="5" t="s">
        <v>294</v>
      </c>
      <c r="H114" s="5" t="s">
        <v>37</v>
      </c>
      <c r="I114" s="5" t="s">
        <v>38</v>
      </c>
      <c r="J114" s="5" t="s">
        <v>294</v>
      </c>
      <c r="K114" s="5" t="s">
        <v>22</v>
      </c>
      <c r="L114" s="5" t="s">
        <v>39</v>
      </c>
      <c r="M114" s="5" t="s">
        <v>40</v>
      </c>
      <c r="N114" s="5" t="s">
        <v>25</v>
      </c>
    </row>
    <row r="115" spans="1:14" ht="42.75">
      <c r="A115" s="5" t="s">
        <v>286</v>
      </c>
      <c r="B115" s="5" t="s">
        <v>41</v>
      </c>
      <c r="C115" s="5" t="s">
        <v>167</v>
      </c>
      <c r="D115" s="5" t="s">
        <v>280</v>
      </c>
      <c r="E115" s="5" t="s">
        <v>168</v>
      </c>
      <c r="F115" s="5" t="s">
        <v>19</v>
      </c>
      <c r="G115" s="5" t="s">
        <v>168</v>
      </c>
      <c r="H115" s="5" t="s">
        <v>45</v>
      </c>
      <c r="I115" s="5" t="s">
        <v>21</v>
      </c>
      <c r="J115" s="5" t="s">
        <v>168</v>
      </c>
      <c r="K115" s="5" t="s">
        <v>22</v>
      </c>
      <c r="L115" s="5" t="s">
        <v>39</v>
      </c>
      <c r="M115" s="5" t="s">
        <v>46</v>
      </c>
      <c r="N115" s="5" t="s">
        <v>25</v>
      </c>
    </row>
    <row r="116" spans="1:14" ht="42.75">
      <c r="A116" s="5" t="s">
        <v>286</v>
      </c>
      <c r="B116" s="5" t="s">
        <v>47</v>
      </c>
      <c r="C116" s="5" t="s">
        <v>169</v>
      </c>
      <c r="D116" s="5" t="s">
        <v>295</v>
      </c>
      <c r="E116" s="5" t="s">
        <v>171</v>
      </c>
      <c r="F116" s="5" t="s">
        <v>51</v>
      </c>
      <c r="G116" s="5" t="s">
        <v>171</v>
      </c>
      <c r="H116" s="5" t="s">
        <v>52</v>
      </c>
      <c r="I116" s="5" t="s">
        <v>21</v>
      </c>
      <c r="J116" s="5" t="s">
        <v>171</v>
      </c>
      <c r="K116" s="5" t="s">
        <v>22</v>
      </c>
      <c r="L116" s="5" t="s">
        <v>39</v>
      </c>
      <c r="M116" s="5" t="s">
        <v>53</v>
      </c>
      <c r="N116" s="5" t="s">
        <v>25</v>
      </c>
    </row>
    <row r="117" spans="1:14" ht="42.75">
      <c r="A117" s="5" t="s">
        <v>286</v>
      </c>
      <c r="B117" s="5" t="s">
        <v>54</v>
      </c>
      <c r="C117" s="5" t="s">
        <v>55</v>
      </c>
      <c r="D117" s="5" t="s">
        <v>56</v>
      </c>
      <c r="E117" s="5" t="s">
        <v>57</v>
      </c>
      <c r="F117" s="5" t="s">
        <v>58</v>
      </c>
      <c r="G117" s="5" t="s">
        <v>57</v>
      </c>
      <c r="H117" s="5" t="s">
        <v>59</v>
      </c>
      <c r="I117" s="5" t="s">
        <v>60</v>
      </c>
      <c r="J117" s="5" t="s">
        <v>57</v>
      </c>
      <c r="K117" s="5" t="s">
        <v>22</v>
      </c>
      <c r="L117" s="5" t="s">
        <v>61</v>
      </c>
      <c r="M117" s="5" t="s">
        <v>62</v>
      </c>
      <c r="N117" s="5" t="s">
        <v>25</v>
      </c>
    </row>
    <row r="118" spans="1:14" ht="42.75">
      <c r="A118" s="5" t="s">
        <v>286</v>
      </c>
      <c r="B118" s="5" t="s">
        <v>63</v>
      </c>
      <c r="C118" s="5" t="s">
        <v>172</v>
      </c>
      <c r="D118" s="5" t="s">
        <v>173</v>
      </c>
      <c r="E118" s="5" t="s">
        <v>174</v>
      </c>
      <c r="F118" s="5" t="s">
        <v>175</v>
      </c>
      <c r="G118" s="5" t="s">
        <v>174</v>
      </c>
      <c r="H118" s="5" t="s">
        <v>67</v>
      </c>
      <c r="I118" s="5" t="s">
        <v>38</v>
      </c>
      <c r="J118" s="5" t="s">
        <v>174</v>
      </c>
      <c r="K118" s="5" t="s">
        <v>22</v>
      </c>
      <c r="L118" s="5" t="s">
        <v>61</v>
      </c>
      <c r="M118" s="5" t="s">
        <v>68</v>
      </c>
      <c r="N118" s="5" t="s">
        <v>25</v>
      </c>
    </row>
    <row r="119" spans="1:14" ht="42.75">
      <c r="A119" s="5" t="s">
        <v>286</v>
      </c>
      <c r="B119" s="5" t="s">
        <v>69</v>
      </c>
      <c r="C119" s="5" t="s">
        <v>296</v>
      </c>
      <c r="D119" s="5" t="s">
        <v>297</v>
      </c>
      <c r="E119" s="5" t="s">
        <v>294</v>
      </c>
      <c r="F119" s="5" t="s">
        <v>19</v>
      </c>
      <c r="G119" s="5" t="s">
        <v>294</v>
      </c>
      <c r="H119" s="5" t="s">
        <v>73</v>
      </c>
      <c r="I119" s="5" t="s">
        <v>38</v>
      </c>
      <c r="J119" s="5" t="s">
        <v>294</v>
      </c>
      <c r="K119" s="5" t="s">
        <v>22</v>
      </c>
      <c r="L119" s="5" t="s">
        <v>61</v>
      </c>
      <c r="M119" s="5" t="s">
        <v>74</v>
      </c>
      <c r="N119" s="5" t="s">
        <v>25</v>
      </c>
    </row>
    <row r="120" spans="1:14" ht="42.75">
      <c r="A120" s="5" t="s">
        <v>286</v>
      </c>
      <c r="B120" s="5" t="s">
        <v>75</v>
      </c>
      <c r="C120" s="5" t="s">
        <v>76</v>
      </c>
      <c r="D120" s="5" t="s">
        <v>77</v>
      </c>
      <c r="E120" s="5" t="s">
        <v>78</v>
      </c>
      <c r="F120" s="5" t="s">
        <v>79</v>
      </c>
      <c r="G120" s="5" t="s">
        <v>78</v>
      </c>
      <c r="H120" s="5" t="s">
        <v>80</v>
      </c>
      <c r="I120" s="5" t="s">
        <v>81</v>
      </c>
      <c r="J120" s="5" t="s">
        <v>78</v>
      </c>
      <c r="K120" s="5" t="s">
        <v>22</v>
      </c>
      <c r="L120" s="5" t="s">
        <v>61</v>
      </c>
      <c r="M120" s="5" t="s">
        <v>82</v>
      </c>
      <c r="N120" s="5" t="s">
        <v>25</v>
      </c>
    </row>
    <row r="121" spans="1:14" ht="42.75">
      <c r="A121" s="5" t="s">
        <v>286</v>
      </c>
      <c r="B121" s="5" t="s">
        <v>83</v>
      </c>
      <c r="C121" s="5" t="s">
        <v>84</v>
      </c>
      <c r="D121" s="5" t="s">
        <v>85</v>
      </c>
      <c r="E121" s="5" t="s">
        <v>86</v>
      </c>
      <c r="F121" s="5" t="s">
        <v>87</v>
      </c>
      <c r="G121" s="5" t="s">
        <v>86</v>
      </c>
      <c r="H121" s="5" t="s">
        <v>88</v>
      </c>
      <c r="I121" s="5" t="s">
        <v>89</v>
      </c>
      <c r="J121" s="5" t="s">
        <v>86</v>
      </c>
      <c r="K121" s="5" t="s">
        <v>22</v>
      </c>
      <c r="L121" s="5" t="s">
        <v>39</v>
      </c>
      <c r="M121" s="5" t="s">
        <v>90</v>
      </c>
      <c r="N121" s="5" t="s">
        <v>25</v>
      </c>
    </row>
    <row r="122" spans="1:14" ht="42.75">
      <c r="A122" s="5" t="s">
        <v>298</v>
      </c>
      <c r="B122" s="5" t="s">
        <v>15</v>
      </c>
      <c r="C122" s="5" t="s">
        <v>299</v>
      </c>
      <c r="D122" s="5" t="s">
        <v>300</v>
      </c>
      <c r="E122" s="5" t="s">
        <v>301</v>
      </c>
      <c r="F122" s="5" t="s">
        <v>19</v>
      </c>
      <c r="G122" s="5" t="s">
        <v>301</v>
      </c>
      <c r="H122" s="5" t="s">
        <v>20</v>
      </c>
      <c r="I122" s="5" t="s">
        <v>21</v>
      </c>
      <c r="J122" s="5" t="s">
        <v>301</v>
      </c>
      <c r="K122" s="5" t="s">
        <v>22</v>
      </c>
      <c r="L122" s="5" t="s">
        <v>23</v>
      </c>
      <c r="M122" s="5" t="s">
        <v>24</v>
      </c>
      <c r="N122" s="5" t="s">
        <v>25</v>
      </c>
    </row>
    <row r="123" spans="1:14" ht="42.75">
      <c r="A123" s="5" t="s">
        <v>298</v>
      </c>
      <c r="B123" s="5" t="s">
        <v>26</v>
      </c>
      <c r="C123" s="5" t="s">
        <v>302</v>
      </c>
      <c r="D123" s="5" t="s">
        <v>303</v>
      </c>
      <c r="E123" s="5" t="s">
        <v>304</v>
      </c>
      <c r="F123" s="5" t="s">
        <v>19</v>
      </c>
      <c r="G123" s="5" t="s">
        <v>304</v>
      </c>
      <c r="H123" s="5" t="s">
        <v>29</v>
      </c>
      <c r="I123" s="5" t="s">
        <v>30</v>
      </c>
      <c r="J123" s="5" t="s">
        <v>304</v>
      </c>
      <c r="K123" s="5" t="s">
        <v>22</v>
      </c>
      <c r="L123" s="5" t="s">
        <v>23</v>
      </c>
      <c r="M123" s="5" t="s">
        <v>31</v>
      </c>
      <c r="N123" s="5" t="s">
        <v>25</v>
      </c>
    </row>
    <row r="124" spans="1:14" ht="42.75">
      <c r="A124" s="5" t="s">
        <v>298</v>
      </c>
      <c r="B124" s="5" t="s">
        <v>32</v>
      </c>
      <c r="C124" s="5" t="s">
        <v>305</v>
      </c>
      <c r="D124" s="5" t="s">
        <v>306</v>
      </c>
      <c r="E124" s="5" t="s">
        <v>307</v>
      </c>
      <c r="F124" s="5" t="s">
        <v>19</v>
      </c>
      <c r="G124" s="5" t="s">
        <v>307</v>
      </c>
      <c r="H124" s="5" t="s">
        <v>37</v>
      </c>
      <c r="I124" s="5" t="s">
        <v>38</v>
      </c>
      <c r="J124" s="5" t="s">
        <v>307</v>
      </c>
      <c r="K124" s="5" t="s">
        <v>22</v>
      </c>
      <c r="L124" s="5" t="s">
        <v>39</v>
      </c>
      <c r="M124" s="5" t="s">
        <v>40</v>
      </c>
      <c r="N124" s="5" t="s">
        <v>25</v>
      </c>
    </row>
    <row r="125" spans="1:14" ht="42.75">
      <c r="A125" s="5" t="s">
        <v>298</v>
      </c>
      <c r="B125" s="5" t="s">
        <v>41</v>
      </c>
      <c r="C125" s="5" t="s">
        <v>308</v>
      </c>
      <c r="D125" s="5" t="s">
        <v>309</v>
      </c>
      <c r="E125" s="5" t="s">
        <v>310</v>
      </c>
      <c r="F125" s="5" t="s">
        <v>19</v>
      </c>
      <c r="G125" s="5" t="s">
        <v>310</v>
      </c>
      <c r="H125" s="5" t="s">
        <v>45</v>
      </c>
      <c r="I125" s="5" t="s">
        <v>21</v>
      </c>
      <c r="J125" s="5" t="s">
        <v>310</v>
      </c>
      <c r="K125" s="5" t="s">
        <v>22</v>
      </c>
      <c r="L125" s="5" t="s">
        <v>39</v>
      </c>
      <c r="M125" s="5" t="s">
        <v>46</v>
      </c>
      <c r="N125" s="5" t="s">
        <v>25</v>
      </c>
    </row>
    <row r="126" spans="1:14" ht="42.75">
      <c r="A126" s="5" t="s">
        <v>298</v>
      </c>
      <c r="B126" s="5" t="s">
        <v>47</v>
      </c>
      <c r="C126" s="5" t="s">
        <v>311</v>
      </c>
      <c r="D126" s="5" t="s">
        <v>312</v>
      </c>
      <c r="E126" s="5" t="s">
        <v>313</v>
      </c>
      <c r="F126" s="5" t="s">
        <v>51</v>
      </c>
      <c r="G126" s="5" t="s">
        <v>313</v>
      </c>
      <c r="H126" s="5" t="s">
        <v>52</v>
      </c>
      <c r="I126" s="5" t="s">
        <v>21</v>
      </c>
      <c r="J126" s="5" t="s">
        <v>313</v>
      </c>
      <c r="K126" s="5" t="s">
        <v>22</v>
      </c>
      <c r="L126" s="5" t="s">
        <v>39</v>
      </c>
      <c r="M126" s="5" t="s">
        <v>53</v>
      </c>
      <c r="N126" s="5" t="s">
        <v>25</v>
      </c>
    </row>
    <row r="127" spans="1:14" ht="42.75">
      <c r="A127" s="5" t="s">
        <v>298</v>
      </c>
      <c r="B127" s="5" t="s">
        <v>54</v>
      </c>
      <c r="C127" s="5" t="s">
        <v>55</v>
      </c>
      <c r="D127" s="5" t="s">
        <v>56</v>
      </c>
      <c r="E127" s="5" t="s">
        <v>57</v>
      </c>
      <c r="F127" s="5" t="s">
        <v>58</v>
      </c>
      <c r="G127" s="5" t="s">
        <v>57</v>
      </c>
      <c r="H127" s="5" t="s">
        <v>59</v>
      </c>
      <c r="I127" s="5" t="s">
        <v>60</v>
      </c>
      <c r="J127" s="5" t="s">
        <v>57</v>
      </c>
      <c r="K127" s="5" t="s">
        <v>22</v>
      </c>
      <c r="L127" s="5" t="s">
        <v>61</v>
      </c>
      <c r="M127" s="5" t="s">
        <v>62</v>
      </c>
      <c r="N127" s="5" t="s">
        <v>25</v>
      </c>
    </row>
    <row r="128" spans="1:14" ht="42.75">
      <c r="A128" s="5" t="s">
        <v>298</v>
      </c>
      <c r="B128" s="5" t="s">
        <v>63</v>
      </c>
      <c r="C128" s="5" t="s">
        <v>172</v>
      </c>
      <c r="D128" s="5" t="s">
        <v>314</v>
      </c>
      <c r="E128" s="5" t="s">
        <v>174</v>
      </c>
      <c r="F128" s="5" t="s">
        <v>175</v>
      </c>
      <c r="G128" s="5" t="s">
        <v>174</v>
      </c>
      <c r="H128" s="5" t="s">
        <v>67</v>
      </c>
      <c r="I128" s="5" t="s">
        <v>38</v>
      </c>
      <c r="J128" s="5" t="s">
        <v>174</v>
      </c>
      <c r="K128" s="5" t="s">
        <v>22</v>
      </c>
      <c r="L128" s="5" t="s">
        <v>61</v>
      </c>
      <c r="M128" s="5" t="s">
        <v>68</v>
      </c>
      <c r="N128" s="5" t="s">
        <v>25</v>
      </c>
    </row>
    <row r="129" spans="1:14" ht="42.75">
      <c r="A129" s="5" t="s">
        <v>298</v>
      </c>
      <c r="B129" s="5" t="s">
        <v>69</v>
      </c>
      <c r="C129" s="5" t="s">
        <v>305</v>
      </c>
      <c r="D129" s="5" t="s">
        <v>315</v>
      </c>
      <c r="E129" s="5" t="s">
        <v>307</v>
      </c>
      <c r="F129" s="5" t="s">
        <v>19</v>
      </c>
      <c r="G129" s="5" t="s">
        <v>307</v>
      </c>
      <c r="H129" s="5" t="s">
        <v>73</v>
      </c>
      <c r="I129" s="5" t="s">
        <v>38</v>
      </c>
      <c r="J129" s="5" t="s">
        <v>307</v>
      </c>
      <c r="K129" s="5" t="s">
        <v>22</v>
      </c>
      <c r="L129" s="5" t="s">
        <v>61</v>
      </c>
      <c r="M129" s="5" t="s">
        <v>74</v>
      </c>
      <c r="N129" s="5" t="s">
        <v>25</v>
      </c>
    </row>
    <row r="130" spans="1:14" ht="42.75">
      <c r="A130" s="5" t="s">
        <v>298</v>
      </c>
      <c r="B130" s="5" t="s">
        <v>75</v>
      </c>
      <c r="C130" s="5" t="s">
        <v>76</v>
      </c>
      <c r="D130" s="5" t="s">
        <v>77</v>
      </c>
      <c r="E130" s="5" t="s">
        <v>78</v>
      </c>
      <c r="F130" s="5" t="s">
        <v>79</v>
      </c>
      <c r="G130" s="5" t="s">
        <v>78</v>
      </c>
      <c r="H130" s="5" t="s">
        <v>80</v>
      </c>
      <c r="I130" s="5" t="s">
        <v>81</v>
      </c>
      <c r="J130" s="5" t="s">
        <v>78</v>
      </c>
      <c r="K130" s="5" t="s">
        <v>22</v>
      </c>
      <c r="L130" s="5" t="s">
        <v>61</v>
      </c>
      <c r="M130" s="5" t="s">
        <v>82</v>
      </c>
      <c r="N130" s="5" t="s">
        <v>25</v>
      </c>
    </row>
    <row r="131" spans="1:14" ht="42.75">
      <c r="A131" s="5" t="s">
        <v>298</v>
      </c>
      <c r="B131" s="5" t="s">
        <v>83</v>
      </c>
      <c r="C131" s="5" t="s">
        <v>84</v>
      </c>
      <c r="D131" s="5" t="s">
        <v>85</v>
      </c>
      <c r="E131" s="5" t="s">
        <v>86</v>
      </c>
      <c r="F131" s="5" t="s">
        <v>87</v>
      </c>
      <c r="G131" s="5" t="s">
        <v>86</v>
      </c>
      <c r="H131" s="5" t="s">
        <v>88</v>
      </c>
      <c r="I131" s="5" t="s">
        <v>89</v>
      </c>
      <c r="J131" s="5" t="s">
        <v>86</v>
      </c>
      <c r="K131" s="5" t="s">
        <v>22</v>
      </c>
      <c r="L131" s="5" t="s">
        <v>39</v>
      </c>
      <c r="M131" s="5" t="s">
        <v>90</v>
      </c>
      <c r="N131" s="5" t="s">
        <v>25</v>
      </c>
    </row>
    <row r="132" spans="1:14" ht="42.75">
      <c r="A132" s="5" t="s">
        <v>316</v>
      </c>
      <c r="B132" s="5" t="s">
        <v>15</v>
      </c>
      <c r="C132" s="5" t="s">
        <v>317</v>
      </c>
      <c r="D132" s="5" t="s">
        <v>318</v>
      </c>
      <c r="E132" s="5" t="s">
        <v>319</v>
      </c>
      <c r="F132" s="5" t="s">
        <v>19</v>
      </c>
      <c r="G132" s="5" t="s">
        <v>319</v>
      </c>
      <c r="H132" s="5" t="s">
        <v>20</v>
      </c>
      <c r="I132" s="5" t="s">
        <v>21</v>
      </c>
      <c r="J132" s="5" t="s">
        <v>319</v>
      </c>
      <c r="K132" s="5" t="s">
        <v>22</v>
      </c>
      <c r="L132" s="5" t="s">
        <v>23</v>
      </c>
      <c r="M132" s="5" t="s">
        <v>24</v>
      </c>
      <c r="N132" s="5" t="s">
        <v>25</v>
      </c>
    </row>
    <row r="133" spans="1:14" ht="57">
      <c r="A133" s="5" t="s">
        <v>316</v>
      </c>
      <c r="B133" s="5" t="s">
        <v>26</v>
      </c>
      <c r="C133" s="5" t="s">
        <v>320</v>
      </c>
      <c r="D133" s="5" t="s">
        <v>321</v>
      </c>
      <c r="E133" s="5" t="s">
        <v>322</v>
      </c>
      <c r="F133" s="5" t="s">
        <v>19</v>
      </c>
      <c r="G133" s="5" t="s">
        <v>322</v>
      </c>
      <c r="H133" s="5" t="s">
        <v>29</v>
      </c>
      <c r="I133" s="5" t="s">
        <v>30</v>
      </c>
      <c r="J133" s="5" t="s">
        <v>322</v>
      </c>
      <c r="K133" s="5" t="s">
        <v>22</v>
      </c>
      <c r="L133" s="5" t="s">
        <v>23</v>
      </c>
      <c r="M133" s="5" t="s">
        <v>31</v>
      </c>
      <c r="N133" s="5" t="s">
        <v>25</v>
      </c>
    </row>
    <row r="134" spans="1:14" ht="42.75">
      <c r="A134" s="5" t="s">
        <v>316</v>
      </c>
      <c r="B134" s="5" t="s">
        <v>32</v>
      </c>
      <c r="C134" s="5" t="s">
        <v>317</v>
      </c>
      <c r="D134" s="5" t="s">
        <v>323</v>
      </c>
      <c r="E134" s="5" t="s">
        <v>319</v>
      </c>
      <c r="F134" s="5" t="s">
        <v>19</v>
      </c>
      <c r="G134" s="5" t="s">
        <v>319</v>
      </c>
      <c r="H134" s="5" t="s">
        <v>37</v>
      </c>
      <c r="I134" s="5" t="s">
        <v>38</v>
      </c>
      <c r="J134" s="5" t="s">
        <v>319</v>
      </c>
      <c r="K134" s="5" t="s">
        <v>22</v>
      </c>
      <c r="L134" s="5" t="s">
        <v>39</v>
      </c>
      <c r="M134" s="5" t="s">
        <v>40</v>
      </c>
      <c r="N134" s="5" t="s">
        <v>25</v>
      </c>
    </row>
    <row r="135" spans="1:14" ht="42.75">
      <c r="A135" s="5" t="s">
        <v>316</v>
      </c>
      <c r="B135" s="5" t="s">
        <v>41</v>
      </c>
      <c r="C135" s="5" t="s">
        <v>189</v>
      </c>
      <c r="D135" s="5" t="s">
        <v>324</v>
      </c>
      <c r="E135" s="5" t="s">
        <v>190</v>
      </c>
      <c r="F135" s="5" t="s">
        <v>19</v>
      </c>
      <c r="G135" s="5" t="s">
        <v>190</v>
      </c>
      <c r="H135" s="5" t="s">
        <v>45</v>
      </c>
      <c r="I135" s="5" t="s">
        <v>21</v>
      </c>
      <c r="J135" s="5" t="s">
        <v>190</v>
      </c>
      <c r="K135" s="5" t="s">
        <v>22</v>
      </c>
      <c r="L135" s="5" t="s">
        <v>39</v>
      </c>
      <c r="M135" s="5" t="s">
        <v>46</v>
      </c>
      <c r="N135" s="5" t="s">
        <v>25</v>
      </c>
    </row>
    <row r="136" spans="1:14" ht="42.75">
      <c r="A136" s="5" t="s">
        <v>316</v>
      </c>
      <c r="B136" s="5" t="s">
        <v>47</v>
      </c>
      <c r="C136" s="5" t="s">
        <v>325</v>
      </c>
      <c r="D136" s="5" t="s">
        <v>326</v>
      </c>
      <c r="E136" s="5" t="s">
        <v>151</v>
      </c>
      <c r="F136" s="5" t="s">
        <v>51</v>
      </c>
      <c r="G136" s="5" t="s">
        <v>151</v>
      </c>
      <c r="H136" s="5" t="s">
        <v>52</v>
      </c>
      <c r="I136" s="5" t="s">
        <v>21</v>
      </c>
      <c r="J136" s="5" t="s">
        <v>151</v>
      </c>
      <c r="K136" s="5" t="s">
        <v>22</v>
      </c>
      <c r="L136" s="5" t="s">
        <v>39</v>
      </c>
      <c r="M136" s="5" t="s">
        <v>53</v>
      </c>
      <c r="N136" s="5" t="s">
        <v>25</v>
      </c>
    </row>
    <row r="137" spans="1:14" ht="42.75">
      <c r="A137" s="5" t="s">
        <v>316</v>
      </c>
      <c r="B137" s="5" t="s">
        <v>54</v>
      </c>
      <c r="C137" s="5" t="s">
        <v>55</v>
      </c>
      <c r="D137" s="5" t="s">
        <v>56</v>
      </c>
      <c r="E137" s="5" t="s">
        <v>57</v>
      </c>
      <c r="F137" s="5" t="s">
        <v>58</v>
      </c>
      <c r="G137" s="5" t="s">
        <v>57</v>
      </c>
      <c r="H137" s="5" t="s">
        <v>59</v>
      </c>
      <c r="I137" s="5" t="s">
        <v>60</v>
      </c>
      <c r="J137" s="5" t="s">
        <v>57</v>
      </c>
      <c r="K137" s="5" t="s">
        <v>22</v>
      </c>
      <c r="L137" s="5" t="s">
        <v>61</v>
      </c>
      <c r="M137" s="5" t="s">
        <v>62</v>
      </c>
      <c r="N137" s="5" t="s">
        <v>25</v>
      </c>
    </row>
    <row r="138" spans="1:14" ht="42.75">
      <c r="A138" s="5" t="s">
        <v>316</v>
      </c>
      <c r="B138" s="5" t="s">
        <v>63</v>
      </c>
      <c r="C138" s="5" t="s">
        <v>327</v>
      </c>
      <c r="D138" s="5" t="s">
        <v>328</v>
      </c>
      <c r="E138" s="5" t="s">
        <v>238</v>
      </c>
      <c r="F138" s="5" t="s">
        <v>19</v>
      </c>
      <c r="G138" s="5" t="s">
        <v>238</v>
      </c>
      <c r="H138" s="5" t="s">
        <v>67</v>
      </c>
      <c r="I138" s="5" t="s">
        <v>38</v>
      </c>
      <c r="J138" s="5" t="s">
        <v>238</v>
      </c>
      <c r="K138" s="5" t="s">
        <v>22</v>
      </c>
      <c r="L138" s="5" t="s">
        <v>61</v>
      </c>
      <c r="M138" s="5" t="s">
        <v>68</v>
      </c>
      <c r="N138" s="5" t="s">
        <v>25</v>
      </c>
    </row>
    <row r="139" spans="1:14" ht="42.75">
      <c r="A139" s="5" t="s">
        <v>316</v>
      </c>
      <c r="B139" s="5" t="s">
        <v>69</v>
      </c>
      <c r="C139" s="5" t="s">
        <v>329</v>
      </c>
      <c r="D139" s="5" t="s">
        <v>330</v>
      </c>
      <c r="E139" s="5" t="s">
        <v>319</v>
      </c>
      <c r="F139" s="5" t="s">
        <v>19</v>
      </c>
      <c r="G139" s="5" t="s">
        <v>319</v>
      </c>
      <c r="H139" s="5" t="s">
        <v>73</v>
      </c>
      <c r="I139" s="5" t="s">
        <v>38</v>
      </c>
      <c r="J139" s="5" t="s">
        <v>319</v>
      </c>
      <c r="K139" s="5" t="s">
        <v>22</v>
      </c>
      <c r="L139" s="5" t="s">
        <v>61</v>
      </c>
      <c r="M139" s="5" t="s">
        <v>74</v>
      </c>
      <c r="N139" s="5" t="s">
        <v>25</v>
      </c>
    </row>
    <row r="140" spans="1:14" ht="42.75">
      <c r="A140" s="5" t="s">
        <v>316</v>
      </c>
      <c r="B140" s="5" t="s">
        <v>75</v>
      </c>
      <c r="C140" s="5" t="s">
        <v>76</v>
      </c>
      <c r="D140" s="5" t="s">
        <v>77</v>
      </c>
      <c r="E140" s="5" t="s">
        <v>78</v>
      </c>
      <c r="F140" s="5" t="s">
        <v>79</v>
      </c>
      <c r="G140" s="5" t="s">
        <v>78</v>
      </c>
      <c r="H140" s="5" t="s">
        <v>80</v>
      </c>
      <c r="I140" s="5" t="s">
        <v>81</v>
      </c>
      <c r="J140" s="5" t="s">
        <v>78</v>
      </c>
      <c r="K140" s="5" t="s">
        <v>22</v>
      </c>
      <c r="L140" s="5" t="s">
        <v>61</v>
      </c>
      <c r="M140" s="5" t="s">
        <v>82</v>
      </c>
      <c r="N140" s="5" t="s">
        <v>25</v>
      </c>
    </row>
    <row r="141" spans="1:14" ht="42.75">
      <c r="A141" s="5" t="s">
        <v>316</v>
      </c>
      <c r="B141" s="5" t="s">
        <v>83</v>
      </c>
      <c r="C141" s="5" t="s">
        <v>84</v>
      </c>
      <c r="D141" s="5" t="s">
        <v>85</v>
      </c>
      <c r="E141" s="5" t="s">
        <v>86</v>
      </c>
      <c r="F141" s="5" t="s">
        <v>87</v>
      </c>
      <c r="G141" s="5" t="s">
        <v>86</v>
      </c>
      <c r="H141" s="5" t="s">
        <v>88</v>
      </c>
      <c r="I141" s="5" t="s">
        <v>89</v>
      </c>
      <c r="J141" s="5" t="s">
        <v>86</v>
      </c>
      <c r="K141" s="5" t="s">
        <v>22</v>
      </c>
      <c r="L141" s="5" t="s">
        <v>39</v>
      </c>
      <c r="M141" s="5" t="s">
        <v>90</v>
      </c>
      <c r="N141" s="5" t="s">
        <v>25</v>
      </c>
    </row>
    <row r="142" spans="1:14" ht="42.75">
      <c r="A142" s="5" t="s">
        <v>331</v>
      </c>
      <c r="B142" s="5" t="s">
        <v>15</v>
      </c>
      <c r="C142" s="5" t="s">
        <v>332</v>
      </c>
      <c r="D142" s="5" t="s">
        <v>333</v>
      </c>
      <c r="E142" s="5" t="s">
        <v>334</v>
      </c>
      <c r="F142" s="5" t="s">
        <v>335</v>
      </c>
      <c r="G142" s="5" t="s">
        <v>334</v>
      </c>
      <c r="H142" s="5" t="s">
        <v>20</v>
      </c>
      <c r="I142" s="5" t="s">
        <v>21</v>
      </c>
      <c r="J142" s="5" t="s">
        <v>334</v>
      </c>
      <c r="K142" s="5" t="s">
        <v>22</v>
      </c>
      <c r="L142" s="5" t="s">
        <v>23</v>
      </c>
      <c r="M142" s="5" t="s">
        <v>24</v>
      </c>
      <c r="N142" s="5" t="s">
        <v>25</v>
      </c>
    </row>
    <row r="143" spans="1:14" ht="42.75">
      <c r="A143" s="5" t="s">
        <v>331</v>
      </c>
      <c r="B143" s="5" t="s">
        <v>26</v>
      </c>
      <c r="C143" s="5" t="s">
        <v>336</v>
      </c>
      <c r="D143" s="5" t="s">
        <v>337</v>
      </c>
      <c r="E143" s="5" t="s">
        <v>338</v>
      </c>
      <c r="F143" s="5" t="s">
        <v>335</v>
      </c>
      <c r="G143" s="5" t="s">
        <v>338</v>
      </c>
      <c r="H143" s="5" t="s">
        <v>29</v>
      </c>
      <c r="I143" s="5" t="s">
        <v>30</v>
      </c>
      <c r="J143" s="5" t="s">
        <v>338</v>
      </c>
      <c r="K143" s="5" t="s">
        <v>22</v>
      </c>
      <c r="L143" s="5" t="s">
        <v>23</v>
      </c>
      <c r="M143" s="5" t="s">
        <v>31</v>
      </c>
      <c r="N143" s="5" t="s">
        <v>25</v>
      </c>
    </row>
    <row r="144" spans="1:14" ht="42.75">
      <c r="A144" s="5" t="s">
        <v>331</v>
      </c>
      <c r="B144" s="5" t="s">
        <v>32</v>
      </c>
      <c r="C144" s="5" t="s">
        <v>339</v>
      </c>
      <c r="D144" s="5" t="s">
        <v>340</v>
      </c>
      <c r="E144" s="5" t="s">
        <v>341</v>
      </c>
      <c r="F144" s="5" t="s">
        <v>19</v>
      </c>
      <c r="G144" s="5" t="s">
        <v>341</v>
      </c>
      <c r="H144" s="5" t="s">
        <v>37</v>
      </c>
      <c r="I144" s="5" t="s">
        <v>38</v>
      </c>
      <c r="J144" s="5" t="s">
        <v>341</v>
      </c>
      <c r="K144" s="5" t="s">
        <v>22</v>
      </c>
      <c r="L144" s="5" t="s">
        <v>39</v>
      </c>
      <c r="M144" s="5" t="s">
        <v>40</v>
      </c>
      <c r="N144" s="5" t="s">
        <v>25</v>
      </c>
    </row>
    <row r="145" spans="1:14" ht="42.75">
      <c r="A145" s="5" t="s">
        <v>331</v>
      </c>
      <c r="B145" s="5" t="s">
        <v>41</v>
      </c>
      <c r="C145" s="5" t="s">
        <v>189</v>
      </c>
      <c r="D145" s="5" t="s">
        <v>280</v>
      </c>
      <c r="E145" s="5" t="s">
        <v>190</v>
      </c>
      <c r="F145" s="5" t="s">
        <v>19</v>
      </c>
      <c r="G145" s="5" t="s">
        <v>190</v>
      </c>
      <c r="H145" s="5" t="s">
        <v>45</v>
      </c>
      <c r="I145" s="5" t="s">
        <v>21</v>
      </c>
      <c r="J145" s="5" t="s">
        <v>190</v>
      </c>
      <c r="K145" s="5" t="s">
        <v>22</v>
      </c>
      <c r="L145" s="5" t="s">
        <v>39</v>
      </c>
      <c r="M145" s="5" t="s">
        <v>46</v>
      </c>
      <c r="N145" s="5" t="s">
        <v>25</v>
      </c>
    </row>
    <row r="146" spans="1:14" ht="42.75">
      <c r="A146" s="5" t="s">
        <v>331</v>
      </c>
      <c r="B146" s="5" t="s">
        <v>47</v>
      </c>
      <c r="C146" s="5" t="s">
        <v>325</v>
      </c>
      <c r="D146" s="5" t="s">
        <v>342</v>
      </c>
      <c r="E146" s="5" t="s">
        <v>151</v>
      </c>
      <c r="F146" s="5" t="s">
        <v>51</v>
      </c>
      <c r="G146" s="5" t="s">
        <v>151</v>
      </c>
      <c r="H146" s="5" t="s">
        <v>52</v>
      </c>
      <c r="I146" s="5" t="s">
        <v>21</v>
      </c>
      <c r="J146" s="5" t="s">
        <v>151</v>
      </c>
      <c r="K146" s="5" t="s">
        <v>22</v>
      </c>
      <c r="L146" s="5" t="s">
        <v>39</v>
      </c>
      <c r="M146" s="5" t="s">
        <v>53</v>
      </c>
      <c r="N146" s="5" t="s">
        <v>25</v>
      </c>
    </row>
    <row r="147" spans="1:14" ht="42.75">
      <c r="A147" s="5" t="s">
        <v>331</v>
      </c>
      <c r="B147" s="5" t="s">
        <v>54</v>
      </c>
      <c r="C147" s="5" t="s">
        <v>55</v>
      </c>
      <c r="D147" s="5" t="s">
        <v>56</v>
      </c>
      <c r="E147" s="5" t="s">
        <v>57</v>
      </c>
      <c r="F147" s="5" t="s">
        <v>58</v>
      </c>
      <c r="G147" s="5" t="s">
        <v>57</v>
      </c>
      <c r="H147" s="5" t="s">
        <v>59</v>
      </c>
      <c r="I147" s="5" t="s">
        <v>60</v>
      </c>
      <c r="J147" s="5" t="s">
        <v>57</v>
      </c>
      <c r="K147" s="5" t="s">
        <v>22</v>
      </c>
      <c r="L147" s="5" t="s">
        <v>61</v>
      </c>
      <c r="M147" s="5" t="s">
        <v>62</v>
      </c>
      <c r="N147" s="5" t="s">
        <v>25</v>
      </c>
    </row>
    <row r="148" spans="1:14" ht="42.75">
      <c r="A148" s="5" t="s">
        <v>331</v>
      </c>
      <c r="B148" s="5" t="s">
        <v>63</v>
      </c>
      <c r="C148" s="5" t="s">
        <v>343</v>
      </c>
      <c r="D148" s="5" t="s">
        <v>344</v>
      </c>
      <c r="E148" s="5" t="s">
        <v>238</v>
      </c>
      <c r="F148" s="5" t="s">
        <v>19</v>
      </c>
      <c r="G148" s="5" t="s">
        <v>238</v>
      </c>
      <c r="H148" s="5" t="s">
        <v>67</v>
      </c>
      <c r="I148" s="5" t="s">
        <v>38</v>
      </c>
      <c r="J148" s="5" t="s">
        <v>238</v>
      </c>
      <c r="K148" s="5" t="s">
        <v>22</v>
      </c>
      <c r="L148" s="5" t="s">
        <v>61</v>
      </c>
      <c r="M148" s="5" t="s">
        <v>68</v>
      </c>
      <c r="N148" s="5" t="s">
        <v>25</v>
      </c>
    </row>
    <row r="149" spans="1:14" ht="42.75">
      <c r="A149" s="5" t="s">
        <v>331</v>
      </c>
      <c r="B149" s="5" t="s">
        <v>69</v>
      </c>
      <c r="C149" s="5" t="s">
        <v>339</v>
      </c>
      <c r="D149" s="5" t="s">
        <v>345</v>
      </c>
      <c r="E149" s="5" t="s">
        <v>341</v>
      </c>
      <c r="F149" s="5" t="s">
        <v>19</v>
      </c>
      <c r="G149" s="5" t="s">
        <v>341</v>
      </c>
      <c r="H149" s="5" t="s">
        <v>73</v>
      </c>
      <c r="I149" s="5" t="s">
        <v>38</v>
      </c>
      <c r="J149" s="5" t="s">
        <v>341</v>
      </c>
      <c r="K149" s="5" t="s">
        <v>22</v>
      </c>
      <c r="L149" s="5" t="s">
        <v>61</v>
      </c>
      <c r="M149" s="5" t="s">
        <v>74</v>
      </c>
      <c r="N149" s="5" t="s">
        <v>25</v>
      </c>
    </row>
    <row r="150" spans="1:14" ht="42.75">
      <c r="A150" s="5" t="s">
        <v>331</v>
      </c>
      <c r="B150" s="5" t="s">
        <v>75</v>
      </c>
      <c r="C150" s="5" t="s">
        <v>76</v>
      </c>
      <c r="D150" s="5" t="s">
        <v>77</v>
      </c>
      <c r="E150" s="5" t="s">
        <v>78</v>
      </c>
      <c r="F150" s="5" t="s">
        <v>79</v>
      </c>
      <c r="G150" s="5" t="s">
        <v>78</v>
      </c>
      <c r="H150" s="5" t="s">
        <v>80</v>
      </c>
      <c r="I150" s="5" t="s">
        <v>81</v>
      </c>
      <c r="J150" s="5" t="s">
        <v>78</v>
      </c>
      <c r="K150" s="5" t="s">
        <v>22</v>
      </c>
      <c r="L150" s="5" t="s">
        <v>61</v>
      </c>
      <c r="M150" s="5" t="s">
        <v>82</v>
      </c>
      <c r="N150" s="5" t="s">
        <v>25</v>
      </c>
    </row>
    <row r="151" spans="1:14" ht="42.75">
      <c r="A151" s="5" t="s">
        <v>331</v>
      </c>
      <c r="B151" s="5" t="s">
        <v>83</v>
      </c>
      <c r="C151" s="5" t="s">
        <v>84</v>
      </c>
      <c r="D151" s="5" t="s">
        <v>85</v>
      </c>
      <c r="E151" s="5" t="s">
        <v>86</v>
      </c>
      <c r="F151" s="5" t="s">
        <v>87</v>
      </c>
      <c r="G151" s="5" t="s">
        <v>86</v>
      </c>
      <c r="H151" s="5" t="s">
        <v>88</v>
      </c>
      <c r="I151" s="5" t="s">
        <v>89</v>
      </c>
      <c r="J151" s="5" t="s">
        <v>86</v>
      </c>
      <c r="K151" s="5" t="s">
        <v>22</v>
      </c>
      <c r="L151" s="5" t="s">
        <v>39</v>
      </c>
      <c r="M151" s="5" t="s">
        <v>90</v>
      </c>
      <c r="N151" s="5" t="s">
        <v>25</v>
      </c>
    </row>
    <row r="152" spans="1:14" ht="42.75">
      <c r="A152" s="5" t="s">
        <v>346</v>
      </c>
      <c r="B152" s="5" t="s">
        <v>15</v>
      </c>
      <c r="C152" s="5" t="s">
        <v>347</v>
      </c>
      <c r="D152" s="5" t="s">
        <v>348</v>
      </c>
      <c r="E152" s="5" t="s">
        <v>349</v>
      </c>
      <c r="F152" s="5" t="s">
        <v>19</v>
      </c>
      <c r="G152" s="5" t="s">
        <v>349</v>
      </c>
      <c r="H152" s="5" t="s">
        <v>20</v>
      </c>
      <c r="I152" s="5" t="s">
        <v>21</v>
      </c>
      <c r="J152" s="5" t="s">
        <v>349</v>
      </c>
      <c r="K152" s="5" t="s">
        <v>22</v>
      </c>
      <c r="L152" s="5" t="s">
        <v>23</v>
      </c>
      <c r="M152" s="5" t="s">
        <v>24</v>
      </c>
      <c r="N152" s="5" t="s">
        <v>25</v>
      </c>
    </row>
    <row r="153" spans="1:14" ht="57">
      <c r="A153" s="5" t="s">
        <v>346</v>
      </c>
      <c r="B153" s="5" t="s">
        <v>26</v>
      </c>
      <c r="C153" s="5" t="s">
        <v>350</v>
      </c>
      <c r="D153" s="5" t="s">
        <v>351</v>
      </c>
      <c r="E153" s="5" t="s">
        <v>352</v>
      </c>
      <c r="F153" s="5" t="s">
        <v>19</v>
      </c>
      <c r="G153" s="5" t="s">
        <v>352</v>
      </c>
      <c r="H153" s="5" t="s">
        <v>29</v>
      </c>
      <c r="I153" s="5" t="s">
        <v>30</v>
      </c>
      <c r="J153" s="5" t="s">
        <v>352</v>
      </c>
      <c r="K153" s="5" t="s">
        <v>22</v>
      </c>
      <c r="L153" s="5" t="s">
        <v>23</v>
      </c>
      <c r="M153" s="5" t="s">
        <v>31</v>
      </c>
      <c r="N153" s="5" t="s">
        <v>25</v>
      </c>
    </row>
    <row r="154" spans="1:14" ht="42.75">
      <c r="A154" s="5" t="s">
        <v>346</v>
      </c>
      <c r="B154" s="5" t="s">
        <v>32</v>
      </c>
      <c r="C154" s="5" t="s">
        <v>353</v>
      </c>
      <c r="D154" s="5" t="s">
        <v>354</v>
      </c>
      <c r="E154" s="5" t="s">
        <v>355</v>
      </c>
      <c r="F154" s="5" t="s">
        <v>19</v>
      </c>
      <c r="G154" s="5" t="s">
        <v>355</v>
      </c>
      <c r="H154" s="5" t="s">
        <v>37</v>
      </c>
      <c r="I154" s="5" t="s">
        <v>38</v>
      </c>
      <c r="J154" s="5" t="s">
        <v>355</v>
      </c>
      <c r="K154" s="5" t="s">
        <v>22</v>
      </c>
      <c r="L154" s="5" t="s">
        <v>39</v>
      </c>
      <c r="M154" s="5" t="s">
        <v>40</v>
      </c>
      <c r="N154" s="5" t="s">
        <v>25</v>
      </c>
    </row>
    <row r="155" spans="1:14" ht="42.75">
      <c r="A155" s="5" t="s">
        <v>346</v>
      </c>
      <c r="B155" s="5" t="s">
        <v>41</v>
      </c>
      <c r="C155" s="5" t="s">
        <v>356</v>
      </c>
      <c r="D155" s="5" t="s">
        <v>357</v>
      </c>
      <c r="E155" s="5" t="s">
        <v>358</v>
      </c>
      <c r="F155" s="5" t="s">
        <v>19</v>
      </c>
      <c r="G155" s="5" t="s">
        <v>358</v>
      </c>
      <c r="H155" s="5" t="s">
        <v>45</v>
      </c>
      <c r="I155" s="5" t="s">
        <v>21</v>
      </c>
      <c r="J155" s="5" t="s">
        <v>358</v>
      </c>
      <c r="K155" s="5" t="s">
        <v>22</v>
      </c>
      <c r="L155" s="5" t="s">
        <v>39</v>
      </c>
      <c r="M155" s="5" t="s">
        <v>46</v>
      </c>
      <c r="N155" s="5" t="s">
        <v>25</v>
      </c>
    </row>
    <row r="156" spans="1:14" ht="42.75">
      <c r="A156" s="5" t="s">
        <v>346</v>
      </c>
      <c r="B156" s="5" t="s">
        <v>47</v>
      </c>
      <c r="C156" s="5" t="s">
        <v>359</v>
      </c>
      <c r="D156" s="5" t="s">
        <v>360</v>
      </c>
      <c r="E156" s="5" t="s">
        <v>361</v>
      </c>
      <c r="F156" s="5" t="s">
        <v>51</v>
      </c>
      <c r="G156" s="5" t="s">
        <v>361</v>
      </c>
      <c r="H156" s="5" t="s">
        <v>52</v>
      </c>
      <c r="I156" s="5" t="s">
        <v>21</v>
      </c>
      <c r="J156" s="5" t="s">
        <v>361</v>
      </c>
      <c r="K156" s="5" t="s">
        <v>22</v>
      </c>
      <c r="L156" s="5" t="s">
        <v>39</v>
      </c>
      <c r="M156" s="5" t="s">
        <v>53</v>
      </c>
      <c r="N156" s="5" t="s">
        <v>25</v>
      </c>
    </row>
    <row r="157" spans="1:14" ht="42.75">
      <c r="A157" s="5" t="s">
        <v>346</v>
      </c>
      <c r="B157" s="5" t="s">
        <v>54</v>
      </c>
      <c r="C157" s="5" t="s">
        <v>55</v>
      </c>
      <c r="D157" s="5" t="s">
        <v>56</v>
      </c>
      <c r="E157" s="5" t="s">
        <v>57</v>
      </c>
      <c r="F157" s="5" t="s">
        <v>58</v>
      </c>
      <c r="G157" s="5" t="s">
        <v>57</v>
      </c>
      <c r="H157" s="5" t="s">
        <v>59</v>
      </c>
      <c r="I157" s="5" t="s">
        <v>60</v>
      </c>
      <c r="J157" s="5" t="s">
        <v>57</v>
      </c>
      <c r="K157" s="5" t="s">
        <v>22</v>
      </c>
      <c r="L157" s="5" t="s">
        <v>61</v>
      </c>
      <c r="M157" s="5" t="s">
        <v>62</v>
      </c>
      <c r="N157" s="5" t="s">
        <v>25</v>
      </c>
    </row>
    <row r="158" spans="1:14" ht="42.75">
      <c r="A158" s="5" t="s">
        <v>346</v>
      </c>
      <c r="B158" s="5" t="s">
        <v>63</v>
      </c>
      <c r="C158" s="5" t="s">
        <v>362</v>
      </c>
      <c r="D158" s="5" t="s">
        <v>363</v>
      </c>
      <c r="E158" s="5" t="s">
        <v>238</v>
      </c>
      <c r="F158" s="5" t="s">
        <v>19</v>
      </c>
      <c r="G158" s="5" t="s">
        <v>238</v>
      </c>
      <c r="H158" s="5" t="s">
        <v>67</v>
      </c>
      <c r="I158" s="5" t="s">
        <v>38</v>
      </c>
      <c r="J158" s="5" t="s">
        <v>238</v>
      </c>
      <c r="K158" s="5" t="s">
        <v>22</v>
      </c>
      <c r="L158" s="5" t="s">
        <v>61</v>
      </c>
      <c r="M158" s="5" t="s">
        <v>68</v>
      </c>
      <c r="N158" s="5" t="s">
        <v>25</v>
      </c>
    </row>
    <row r="159" spans="1:14" ht="42.75">
      <c r="A159" s="5" t="s">
        <v>346</v>
      </c>
      <c r="B159" s="5" t="s">
        <v>69</v>
      </c>
      <c r="C159" s="5" t="s">
        <v>347</v>
      </c>
      <c r="D159" s="5" t="s">
        <v>364</v>
      </c>
      <c r="E159" s="5" t="s">
        <v>365</v>
      </c>
      <c r="F159" s="5" t="s">
        <v>19</v>
      </c>
      <c r="G159" s="5" t="s">
        <v>365</v>
      </c>
      <c r="H159" s="5" t="s">
        <v>73</v>
      </c>
      <c r="I159" s="5" t="s">
        <v>38</v>
      </c>
      <c r="J159" s="5" t="s">
        <v>365</v>
      </c>
      <c r="K159" s="5" t="s">
        <v>22</v>
      </c>
      <c r="L159" s="5" t="s">
        <v>61</v>
      </c>
      <c r="M159" s="5" t="s">
        <v>74</v>
      </c>
      <c r="N159" s="5" t="s">
        <v>25</v>
      </c>
    </row>
    <row r="160" spans="1:14" ht="42.75">
      <c r="A160" s="5" t="s">
        <v>346</v>
      </c>
      <c r="B160" s="5" t="s">
        <v>75</v>
      </c>
      <c r="C160" s="5" t="s">
        <v>76</v>
      </c>
      <c r="D160" s="5" t="s">
        <v>77</v>
      </c>
      <c r="E160" s="5" t="s">
        <v>78</v>
      </c>
      <c r="F160" s="5" t="s">
        <v>79</v>
      </c>
      <c r="G160" s="5" t="s">
        <v>78</v>
      </c>
      <c r="H160" s="5" t="s">
        <v>80</v>
      </c>
      <c r="I160" s="5" t="s">
        <v>81</v>
      </c>
      <c r="J160" s="5" t="s">
        <v>78</v>
      </c>
      <c r="K160" s="5" t="s">
        <v>22</v>
      </c>
      <c r="L160" s="5" t="s">
        <v>61</v>
      </c>
      <c r="M160" s="5" t="s">
        <v>82</v>
      </c>
      <c r="N160" s="5" t="s">
        <v>25</v>
      </c>
    </row>
    <row r="161" spans="1:14" ht="42.75">
      <c r="A161" s="5" t="s">
        <v>346</v>
      </c>
      <c r="B161" s="5" t="s">
        <v>83</v>
      </c>
      <c r="C161" s="5" t="s">
        <v>84</v>
      </c>
      <c r="D161" s="5" t="s">
        <v>85</v>
      </c>
      <c r="E161" s="5" t="s">
        <v>86</v>
      </c>
      <c r="F161" s="5" t="s">
        <v>87</v>
      </c>
      <c r="G161" s="5" t="s">
        <v>86</v>
      </c>
      <c r="H161" s="5" t="s">
        <v>88</v>
      </c>
      <c r="I161" s="5" t="s">
        <v>89</v>
      </c>
      <c r="J161" s="5" t="s">
        <v>86</v>
      </c>
      <c r="K161" s="5" t="s">
        <v>22</v>
      </c>
      <c r="L161" s="5" t="s">
        <v>39</v>
      </c>
      <c r="M161" s="5" t="s">
        <v>90</v>
      </c>
      <c r="N161" s="5" t="s">
        <v>25</v>
      </c>
    </row>
    <row r="162" spans="1:14" ht="42.75">
      <c r="A162" s="5" t="s">
        <v>366</v>
      </c>
      <c r="B162" s="5" t="s">
        <v>15</v>
      </c>
      <c r="C162" s="5" t="s">
        <v>367</v>
      </c>
      <c r="D162" s="5" t="s">
        <v>368</v>
      </c>
      <c r="E162" s="5" t="s">
        <v>369</v>
      </c>
      <c r="F162" s="5" t="s">
        <v>19</v>
      </c>
      <c r="G162" s="5" t="s">
        <v>369</v>
      </c>
      <c r="H162" s="5" t="s">
        <v>20</v>
      </c>
      <c r="I162" s="5" t="s">
        <v>21</v>
      </c>
      <c r="J162" s="5" t="s">
        <v>369</v>
      </c>
      <c r="K162" s="5" t="s">
        <v>22</v>
      </c>
      <c r="L162" s="5" t="s">
        <v>23</v>
      </c>
      <c r="M162" s="5" t="s">
        <v>24</v>
      </c>
      <c r="N162" s="5" t="s">
        <v>25</v>
      </c>
    </row>
    <row r="163" spans="1:14" ht="71.25">
      <c r="A163" s="5" t="s">
        <v>366</v>
      </c>
      <c r="B163" s="5" t="s">
        <v>26</v>
      </c>
      <c r="C163" s="5" t="s">
        <v>370</v>
      </c>
      <c r="D163" s="5" t="s">
        <v>371</v>
      </c>
      <c r="E163" s="5" t="s">
        <v>372</v>
      </c>
      <c r="F163" s="5" t="s">
        <v>19</v>
      </c>
      <c r="G163" s="5" t="s">
        <v>372</v>
      </c>
      <c r="H163" s="5" t="s">
        <v>29</v>
      </c>
      <c r="I163" s="5" t="s">
        <v>30</v>
      </c>
      <c r="J163" s="5" t="s">
        <v>372</v>
      </c>
      <c r="K163" s="5" t="s">
        <v>22</v>
      </c>
      <c r="L163" s="5" t="s">
        <v>23</v>
      </c>
      <c r="M163" s="5" t="s">
        <v>31</v>
      </c>
      <c r="N163" s="5" t="s">
        <v>25</v>
      </c>
    </row>
    <row r="164" spans="1:14" ht="71.25">
      <c r="A164" s="5" t="s">
        <v>366</v>
      </c>
      <c r="B164" s="5" t="s">
        <v>32</v>
      </c>
      <c r="C164" s="5" t="s">
        <v>373</v>
      </c>
      <c r="D164" s="5" t="s">
        <v>374</v>
      </c>
      <c r="E164" s="5" t="s">
        <v>372</v>
      </c>
      <c r="F164" s="5" t="s">
        <v>19</v>
      </c>
      <c r="G164" s="5" t="s">
        <v>372</v>
      </c>
      <c r="H164" s="5" t="s">
        <v>37</v>
      </c>
      <c r="I164" s="5" t="s">
        <v>38</v>
      </c>
      <c r="J164" s="5" t="s">
        <v>372</v>
      </c>
      <c r="K164" s="5" t="s">
        <v>22</v>
      </c>
      <c r="L164" s="5" t="s">
        <v>39</v>
      </c>
      <c r="M164" s="5" t="s">
        <v>40</v>
      </c>
      <c r="N164" s="5" t="s">
        <v>25</v>
      </c>
    </row>
    <row r="165" spans="1:14" ht="42.75">
      <c r="A165" s="5" t="s">
        <v>366</v>
      </c>
      <c r="B165" s="5" t="s">
        <v>41</v>
      </c>
      <c r="C165" s="5" t="s">
        <v>229</v>
      </c>
      <c r="D165" s="5" t="s">
        <v>375</v>
      </c>
      <c r="E165" s="5" t="s">
        <v>231</v>
      </c>
      <c r="F165" s="5" t="s">
        <v>19</v>
      </c>
      <c r="G165" s="5" t="s">
        <v>231</v>
      </c>
      <c r="H165" s="5" t="s">
        <v>45</v>
      </c>
      <c r="I165" s="5" t="s">
        <v>21</v>
      </c>
      <c r="J165" s="5" t="s">
        <v>231</v>
      </c>
      <c r="K165" s="5" t="s">
        <v>22</v>
      </c>
      <c r="L165" s="5" t="s">
        <v>39</v>
      </c>
      <c r="M165" s="5" t="s">
        <v>46</v>
      </c>
      <c r="N165" s="5" t="s">
        <v>25</v>
      </c>
    </row>
    <row r="166" spans="1:14" ht="42.75">
      <c r="A166" s="5" t="s">
        <v>366</v>
      </c>
      <c r="B166" s="5" t="s">
        <v>47</v>
      </c>
      <c r="C166" s="5" t="s">
        <v>48</v>
      </c>
      <c r="D166" s="5" t="s">
        <v>376</v>
      </c>
      <c r="E166" s="5" t="s">
        <v>50</v>
      </c>
      <c r="F166" s="5" t="s">
        <v>51</v>
      </c>
      <c r="G166" s="5" t="s">
        <v>50</v>
      </c>
      <c r="H166" s="5" t="s">
        <v>52</v>
      </c>
      <c r="I166" s="5" t="s">
        <v>21</v>
      </c>
      <c r="J166" s="5" t="s">
        <v>50</v>
      </c>
      <c r="K166" s="5" t="s">
        <v>22</v>
      </c>
      <c r="L166" s="5" t="s">
        <v>39</v>
      </c>
      <c r="M166" s="5" t="s">
        <v>53</v>
      </c>
      <c r="N166" s="5" t="s">
        <v>25</v>
      </c>
    </row>
    <row r="167" spans="1:14" ht="42.75">
      <c r="A167" s="5" t="s">
        <v>366</v>
      </c>
      <c r="B167" s="5" t="s">
        <v>54</v>
      </c>
      <c r="C167" s="5" t="s">
        <v>55</v>
      </c>
      <c r="D167" s="5" t="s">
        <v>56</v>
      </c>
      <c r="E167" s="5" t="s">
        <v>57</v>
      </c>
      <c r="F167" s="5" t="s">
        <v>58</v>
      </c>
      <c r="G167" s="5" t="s">
        <v>57</v>
      </c>
      <c r="H167" s="5" t="s">
        <v>59</v>
      </c>
      <c r="I167" s="5" t="s">
        <v>60</v>
      </c>
      <c r="J167" s="5" t="s">
        <v>57</v>
      </c>
      <c r="K167" s="5" t="s">
        <v>22</v>
      </c>
      <c r="L167" s="5" t="s">
        <v>61</v>
      </c>
      <c r="M167" s="5" t="s">
        <v>62</v>
      </c>
      <c r="N167" s="5" t="s">
        <v>25</v>
      </c>
    </row>
    <row r="168" spans="1:14" ht="42.75">
      <c r="A168" s="5" t="s">
        <v>366</v>
      </c>
      <c r="B168" s="5" t="s">
        <v>63</v>
      </c>
      <c r="C168" s="5" t="s">
        <v>377</v>
      </c>
      <c r="D168" s="5" t="s">
        <v>378</v>
      </c>
      <c r="E168" s="5" t="s">
        <v>66</v>
      </c>
      <c r="F168" s="5" t="s">
        <v>19</v>
      </c>
      <c r="G168" s="5" t="s">
        <v>66</v>
      </c>
      <c r="H168" s="5" t="s">
        <v>67</v>
      </c>
      <c r="I168" s="5" t="s">
        <v>38</v>
      </c>
      <c r="J168" s="5" t="s">
        <v>66</v>
      </c>
      <c r="K168" s="5" t="s">
        <v>22</v>
      </c>
      <c r="L168" s="5" t="s">
        <v>61</v>
      </c>
      <c r="M168" s="5" t="s">
        <v>68</v>
      </c>
      <c r="N168" s="5" t="s">
        <v>25</v>
      </c>
    </row>
    <row r="169" spans="1:14" ht="42.75">
      <c r="A169" s="5" t="s">
        <v>366</v>
      </c>
      <c r="B169" s="5" t="s">
        <v>69</v>
      </c>
      <c r="C169" s="5" t="s">
        <v>379</v>
      </c>
      <c r="D169" s="5" t="s">
        <v>380</v>
      </c>
      <c r="E169" s="5" t="s">
        <v>381</v>
      </c>
      <c r="F169" s="5" t="s">
        <v>19</v>
      </c>
      <c r="G169" s="5" t="s">
        <v>381</v>
      </c>
      <c r="H169" s="5" t="s">
        <v>73</v>
      </c>
      <c r="I169" s="5" t="s">
        <v>38</v>
      </c>
      <c r="J169" s="5" t="s">
        <v>381</v>
      </c>
      <c r="K169" s="5" t="s">
        <v>22</v>
      </c>
      <c r="L169" s="5" t="s">
        <v>61</v>
      </c>
      <c r="M169" s="5" t="s">
        <v>74</v>
      </c>
      <c r="N169" s="5" t="s">
        <v>25</v>
      </c>
    </row>
    <row r="170" spans="1:14" ht="42.75">
      <c r="A170" s="5" t="s">
        <v>366</v>
      </c>
      <c r="B170" s="5" t="s">
        <v>75</v>
      </c>
      <c r="C170" s="5" t="s">
        <v>76</v>
      </c>
      <c r="D170" s="5" t="s">
        <v>77</v>
      </c>
      <c r="E170" s="5" t="s">
        <v>78</v>
      </c>
      <c r="F170" s="5" t="s">
        <v>79</v>
      </c>
      <c r="G170" s="5" t="s">
        <v>78</v>
      </c>
      <c r="H170" s="5" t="s">
        <v>80</v>
      </c>
      <c r="I170" s="5" t="s">
        <v>81</v>
      </c>
      <c r="J170" s="5" t="s">
        <v>78</v>
      </c>
      <c r="K170" s="5" t="s">
        <v>22</v>
      </c>
      <c r="L170" s="5" t="s">
        <v>61</v>
      </c>
      <c r="M170" s="5" t="s">
        <v>82</v>
      </c>
      <c r="N170" s="5" t="s">
        <v>25</v>
      </c>
    </row>
    <row r="171" spans="1:14" ht="42.75">
      <c r="A171" s="5" t="s">
        <v>366</v>
      </c>
      <c r="B171" s="5" t="s">
        <v>83</v>
      </c>
      <c r="C171" s="5" t="s">
        <v>84</v>
      </c>
      <c r="D171" s="5" t="s">
        <v>85</v>
      </c>
      <c r="E171" s="5" t="s">
        <v>86</v>
      </c>
      <c r="F171" s="5" t="s">
        <v>87</v>
      </c>
      <c r="G171" s="5" t="s">
        <v>86</v>
      </c>
      <c r="H171" s="5" t="s">
        <v>88</v>
      </c>
      <c r="I171" s="5" t="s">
        <v>89</v>
      </c>
      <c r="J171" s="5" t="s">
        <v>86</v>
      </c>
      <c r="K171" s="5" t="s">
        <v>22</v>
      </c>
      <c r="L171" s="5" t="s">
        <v>39</v>
      </c>
      <c r="M171" s="5" t="s">
        <v>90</v>
      </c>
      <c r="N171" s="5" t="s">
        <v>25</v>
      </c>
    </row>
    <row r="172" spans="1:14" ht="42.75">
      <c r="A172" s="5" t="s">
        <v>382</v>
      </c>
      <c r="B172" s="5" t="s">
        <v>15</v>
      </c>
      <c r="C172" s="5" t="s">
        <v>383</v>
      </c>
      <c r="D172" s="5" t="s">
        <v>384</v>
      </c>
      <c r="E172" s="5" t="s">
        <v>385</v>
      </c>
      <c r="F172" s="5" t="s">
        <v>386</v>
      </c>
      <c r="G172" s="5" t="s">
        <v>385</v>
      </c>
      <c r="H172" s="5" t="s">
        <v>20</v>
      </c>
      <c r="I172" s="5" t="s">
        <v>21</v>
      </c>
      <c r="J172" s="5" t="s">
        <v>385</v>
      </c>
      <c r="K172" s="5" t="s">
        <v>22</v>
      </c>
      <c r="L172" s="5" t="s">
        <v>23</v>
      </c>
      <c r="M172" s="5" t="s">
        <v>24</v>
      </c>
      <c r="N172" s="5" t="s">
        <v>25</v>
      </c>
    </row>
    <row r="173" spans="1:14" ht="42.75">
      <c r="A173" s="5" t="s">
        <v>382</v>
      </c>
      <c r="B173" s="5" t="s">
        <v>26</v>
      </c>
      <c r="C173" s="5" t="s">
        <v>387</v>
      </c>
      <c r="D173" s="5" t="s">
        <v>388</v>
      </c>
      <c r="E173" s="5" t="s">
        <v>389</v>
      </c>
      <c r="F173" s="5" t="s">
        <v>386</v>
      </c>
      <c r="G173" s="5" t="s">
        <v>389</v>
      </c>
      <c r="H173" s="5" t="s">
        <v>29</v>
      </c>
      <c r="I173" s="5" t="s">
        <v>30</v>
      </c>
      <c r="J173" s="5" t="s">
        <v>389</v>
      </c>
      <c r="K173" s="5" t="s">
        <v>22</v>
      </c>
      <c r="L173" s="5" t="s">
        <v>23</v>
      </c>
      <c r="M173" s="5" t="s">
        <v>31</v>
      </c>
      <c r="N173" s="5" t="s">
        <v>25</v>
      </c>
    </row>
    <row r="174" spans="1:14" ht="42.75">
      <c r="A174" s="5" t="s">
        <v>382</v>
      </c>
      <c r="B174" s="5" t="s">
        <v>32</v>
      </c>
      <c r="C174" s="5" t="s">
        <v>390</v>
      </c>
      <c r="D174" s="5" t="s">
        <v>391</v>
      </c>
      <c r="E174" s="5" t="s">
        <v>392</v>
      </c>
      <c r="F174" s="5" t="s">
        <v>19</v>
      </c>
      <c r="G174" s="5" t="s">
        <v>392</v>
      </c>
      <c r="H174" s="5" t="s">
        <v>37</v>
      </c>
      <c r="I174" s="5" t="s">
        <v>38</v>
      </c>
      <c r="J174" s="5" t="s">
        <v>392</v>
      </c>
      <c r="K174" s="5" t="s">
        <v>22</v>
      </c>
      <c r="L174" s="5" t="s">
        <v>39</v>
      </c>
      <c r="M174" s="5" t="s">
        <v>40</v>
      </c>
      <c r="N174" s="5" t="s">
        <v>25</v>
      </c>
    </row>
    <row r="175" spans="1:14" ht="42.75">
      <c r="A175" s="5" t="s">
        <v>382</v>
      </c>
      <c r="B175" s="5" t="s">
        <v>41</v>
      </c>
      <c r="C175" s="5" t="s">
        <v>229</v>
      </c>
      <c r="D175" s="5" t="s">
        <v>375</v>
      </c>
      <c r="E175" s="5" t="s">
        <v>231</v>
      </c>
      <c r="F175" s="5" t="s">
        <v>19</v>
      </c>
      <c r="G175" s="5" t="s">
        <v>231</v>
      </c>
      <c r="H175" s="5" t="s">
        <v>45</v>
      </c>
      <c r="I175" s="5" t="s">
        <v>21</v>
      </c>
      <c r="J175" s="5" t="s">
        <v>231</v>
      </c>
      <c r="K175" s="5" t="s">
        <v>22</v>
      </c>
      <c r="L175" s="5" t="s">
        <v>39</v>
      </c>
      <c r="M175" s="5" t="s">
        <v>46</v>
      </c>
      <c r="N175" s="5" t="s">
        <v>25</v>
      </c>
    </row>
    <row r="176" spans="1:14" ht="42.75">
      <c r="A176" s="5" t="s">
        <v>382</v>
      </c>
      <c r="B176" s="5" t="s">
        <v>47</v>
      </c>
      <c r="C176" s="5" t="s">
        <v>48</v>
      </c>
      <c r="D176" s="5" t="s">
        <v>393</v>
      </c>
      <c r="E176" s="5" t="s">
        <v>50</v>
      </c>
      <c r="F176" s="5" t="s">
        <v>51</v>
      </c>
      <c r="G176" s="5" t="s">
        <v>50</v>
      </c>
      <c r="H176" s="5" t="s">
        <v>52</v>
      </c>
      <c r="I176" s="5" t="s">
        <v>21</v>
      </c>
      <c r="J176" s="5" t="s">
        <v>50</v>
      </c>
      <c r="K176" s="5" t="s">
        <v>22</v>
      </c>
      <c r="L176" s="5" t="s">
        <v>39</v>
      </c>
      <c r="M176" s="5" t="s">
        <v>53</v>
      </c>
      <c r="N176" s="5" t="s">
        <v>25</v>
      </c>
    </row>
    <row r="177" spans="1:14" ht="42.75">
      <c r="A177" s="5" t="s">
        <v>382</v>
      </c>
      <c r="B177" s="5" t="s">
        <v>54</v>
      </c>
      <c r="C177" s="5" t="s">
        <v>55</v>
      </c>
      <c r="D177" s="5" t="s">
        <v>56</v>
      </c>
      <c r="E177" s="5" t="s">
        <v>57</v>
      </c>
      <c r="F177" s="5" t="s">
        <v>58</v>
      </c>
      <c r="G177" s="5" t="s">
        <v>57</v>
      </c>
      <c r="H177" s="5" t="s">
        <v>59</v>
      </c>
      <c r="I177" s="5" t="s">
        <v>60</v>
      </c>
      <c r="J177" s="5" t="s">
        <v>57</v>
      </c>
      <c r="K177" s="5" t="s">
        <v>22</v>
      </c>
      <c r="L177" s="5" t="s">
        <v>61</v>
      </c>
      <c r="M177" s="5" t="s">
        <v>62</v>
      </c>
      <c r="N177" s="5" t="s">
        <v>25</v>
      </c>
    </row>
    <row r="178" spans="1:14" ht="42.75">
      <c r="A178" s="5" t="s">
        <v>382</v>
      </c>
      <c r="B178" s="5" t="s">
        <v>63</v>
      </c>
      <c r="C178" s="5" t="s">
        <v>377</v>
      </c>
      <c r="D178" s="5" t="s">
        <v>378</v>
      </c>
      <c r="E178" s="5" t="s">
        <v>66</v>
      </c>
      <c r="F178" s="5" t="s">
        <v>19</v>
      </c>
      <c r="G178" s="5" t="s">
        <v>66</v>
      </c>
      <c r="H178" s="5" t="s">
        <v>67</v>
      </c>
      <c r="I178" s="5" t="s">
        <v>38</v>
      </c>
      <c r="J178" s="5" t="s">
        <v>66</v>
      </c>
      <c r="K178" s="5" t="s">
        <v>22</v>
      </c>
      <c r="L178" s="5" t="s">
        <v>61</v>
      </c>
      <c r="M178" s="5" t="s">
        <v>68</v>
      </c>
      <c r="N178" s="5" t="s">
        <v>25</v>
      </c>
    </row>
    <row r="179" spans="1:14" ht="42.75">
      <c r="A179" s="5" t="s">
        <v>382</v>
      </c>
      <c r="B179" s="5" t="s">
        <v>69</v>
      </c>
      <c r="C179" s="5" t="s">
        <v>390</v>
      </c>
      <c r="D179" s="5" t="s">
        <v>394</v>
      </c>
      <c r="E179" s="5" t="s">
        <v>392</v>
      </c>
      <c r="F179" s="5" t="s">
        <v>19</v>
      </c>
      <c r="G179" s="5" t="s">
        <v>392</v>
      </c>
      <c r="H179" s="5" t="s">
        <v>73</v>
      </c>
      <c r="I179" s="5" t="s">
        <v>38</v>
      </c>
      <c r="J179" s="5" t="s">
        <v>392</v>
      </c>
      <c r="K179" s="5" t="s">
        <v>22</v>
      </c>
      <c r="L179" s="5" t="s">
        <v>61</v>
      </c>
      <c r="M179" s="5" t="s">
        <v>74</v>
      </c>
      <c r="N179" s="5" t="s">
        <v>25</v>
      </c>
    </row>
    <row r="180" spans="1:14" ht="42.75">
      <c r="A180" s="5" t="s">
        <v>382</v>
      </c>
      <c r="B180" s="5" t="s">
        <v>75</v>
      </c>
      <c r="C180" s="5" t="s">
        <v>76</v>
      </c>
      <c r="D180" s="5" t="s">
        <v>77</v>
      </c>
      <c r="E180" s="5" t="s">
        <v>78</v>
      </c>
      <c r="F180" s="5" t="s">
        <v>79</v>
      </c>
      <c r="G180" s="5" t="s">
        <v>78</v>
      </c>
      <c r="H180" s="5" t="s">
        <v>80</v>
      </c>
      <c r="I180" s="5" t="s">
        <v>81</v>
      </c>
      <c r="J180" s="5" t="s">
        <v>78</v>
      </c>
      <c r="K180" s="5" t="s">
        <v>22</v>
      </c>
      <c r="L180" s="5" t="s">
        <v>61</v>
      </c>
      <c r="M180" s="5" t="s">
        <v>82</v>
      </c>
      <c r="N180" s="5" t="s">
        <v>25</v>
      </c>
    </row>
    <row r="181" spans="1:14" ht="42.75">
      <c r="A181" s="5" t="s">
        <v>382</v>
      </c>
      <c r="B181" s="5" t="s">
        <v>83</v>
      </c>
      <c r="C181" s="5" t="s">
        <v>84</v>
      </c>
      <c r="D181" s="5" t="s">
        <v>85</v>
      </c>
      <c r="E181" s="5" t="s">
        <v>86</v>
      </c>
      <c r="F181" s="5" t="s">
        <v>87</v>
      </c>
      <c r="G181" s="5" t="s">
        <v>86</v>
      </c>
      <c r="H181" s="5" t="s">
        <v>88</v>
      </c>
      <c r="I181" s="5" t="s">
        <v>89</v>
      </c>
      <c r="J181" s="5" t="s">
        <v>86</v>
      </c>
      <c r="K181" s="5" t="s">
        <v>22</v>
      </c>
      <c r="L181" s="5" t="s">
        <v>39</v>
      </c>
      <c r="M181" s="5" t="s">
        <v>90</v>
      </c>
      <c r="N181" s="5" t="s">
        <v>25</v>
      </c>
    </row>
    <row r="182" spans="1:14" ht="42.75">
      <c r="A182" s="5" t="s">
        <v>395</v>
      </c>
      <c r="B182" s="5" t="s">
        <v>15</v>
      </c>
      <c r="C182" s="5" t="s">
        <v>396</v>
      </c>
      <c r="D182" s="5" t="s">
        <v>397</v>
      </c>
      <c r="E182" s="5" t="s">
        <v>398</v>
      </c>
      <c r="F182" s="5" t="s">
        <v>399</v>
      </c>
      <c r="G182" s="5" t="s">
        <v>398</v>
      </c>
      <c r="H182" s="5" t="s">
        <v>20</v>
      </c>
      <c r="I182" s="5" t="s">
        <v>21</v>
      </c>
      <c r="J182" s="5" t="s">
        <v>398</v>
      </c>
      <c r="K182" s="5" t="s">
        <v>22</v>
      </c>
      <c r="L182" s="5" t="s">
        <v>23</v>
      </c>
      <c r="M182" s="5" t="s">
        <v>24</v>
      </c>
      <c r="N182" s="5" t="s">
        <v>25</v>
      </c>
    </row>
    <row r="183" spans="1:14" ht="42.75">
      <c r="A183" s="5" t="s">
        <v>395</v>
      </c>
      <c r="B183" s="5" t="s">
        <v>26</v>
      </c>
      <c r="C183" s="5" t="s">
        <v>400</v>
      </c>
      <c r="D183" s="5" t="s">
        <v>401</v>
      </c>
      <c r="E183" s="5" t="s">
        <v>402</v>
      </c>
      <c r="F183" s="5" t="s">
        <v>399</v>
      </c>
      <c r="G183" s="5" t="s">
        <v>402</v>
      </c>
      <c r="H183" s="5" t="s">
        <v>29</v>
      </c>
      <c r="I183" s="5" t="s">
        <v>30</v>
      </c>
      <c r="J183" s="5" t="s">
        <v>402</v>
      </c>
      <c r="K183" s="5" t="s">
        <v>22</v>
      </c>
      <c r="L183" s="5" t="s">
        <v>23</v>
      </c>
      <c r="M183" s="5" t="s">
        <v>31</v>
      </c>
      <c r="N183" s="5" t="s">
        <v>25</v>
      </c>
    </row>
    <row r="184" spans="1:14" ht="42.75">
      <c r="A184" s="5" t="s">
        <v>395</v>
      </c>
      <c r="B184" s="5" t="s">
        <v>32</v>
      </c>
      <c r="C184" s="5" t="s">
        <v>403</v>
      </c>
      <c r="D184" s="5" t="s">
        <v>404</v>
      </c>
      <c r="E184" s="5" t="s">
        <v>405</v>
      </c>
      <c r="F184" s="5" t="s">
        <v>406</v>
      </c>
      <c r="G184" s="5" t="s">
        <v>405</v>
      </c>
      <c r="H184" s="5" t="s">
        <v>37</v>
      </c>
      <c r="I184" s="5" t="s">
        <v>38</v>
      </c>
      <c r="J184" s="5" t="s">
        <v>405</v>
      </c>
      <c r="K184" s="5" t="s">
        <v>22</v>
      </c>
      <c r="L184" s="5" t="s">
        <v>39</v>
      </c>
      <c r="M184" s="5" t="s">
        <v>40</v>
      </c>
      <c r="N184" s="5" t="s">
        <v>25</v>
      </c>
    </row>
    <row r="185" spans="1:14" ht="42.75">
      <c r="A185" s="5" t="s">
        <v>395</v>
      </c>
      <c r="B185" s="5" t="s">
        <v>41</v>
      </c>
      <c r="C185" s="5" t="s">
        <v>167</v>
      </c>
      <c r="D185" s="5" t="s">
        <v>280</v>
      </c>
      <c r="E185" s="5" t="s">
        <v>168</v>
      </c>
      <c r="F185" s="5" t="s">
        <v>19</v>
      </c>
      <c r="G185" s="5" t="s">
        <v>168</v>
      </c>
      <c r="H185" s="5" t="s">
        <v>45</v>
      </c>
      <c r="I185" s="5" t="s">
        <v>21</v>
      </c>
      <c r="J185" s="5" t="s">
        <v>168</v>
      </c>
      <c r="K185" s="5" t="s">
        <v>22</v>
      </c>
      <c r="L185" s="5" t="s">
        <v>39</v>
      </c>
      <c r="M185" s="5" t="s">
        <v>46</v>
      </c>
      <c r="N185" s="5" t="s">
        <v>25</v>
      </c>
    </row>
    <row r="186" spans="1:14" ht="42.75">
      <c r="A186" s="5" t="s">
        <v>395</v>
      </c>
      <c r="B186" s="5" t="s">
        <v>47</v>
      </c>
      <c r="C186" s="5" t="s">
        <v>169</v>
      </c>
      <c r="D186" s="5" t="s">
        <v>295</v>
      </c>
      <c r="E186" s="5" t="s">
        <v>171</v>
      </c>
      <c r="F186" s="5" t="s">
        <v>51</v>
      </c>
      <c r="G186" s="5" t="s">
        <v>171</v>
      </c>
      <c r="H186" s="5" t="s">
        <v>52</v>
      </c>
      <c r="I186" s="5" t="s">
        <v>21</v>
      </c>
      <c r="J186" s="5" t="s">
        <v>171</v>
      </c>
      <c r="K186" s="5" t="s">
        <v>22</v>
      </c>
      <c r="L186" s="5" t="s">
        <v>39</v>
      </c>
      <c r="M186" s="5" t="s">
        <v>53</v>
      </c>
      <c r="N186" s="5" t="s">
        <v>25</v>
      </c>
    </row>
    <row r="187" spans="1:14" ht="42.75">
      <c r="A187" s="5" t="s">
        <v>395</v>
      </c>
      <c r="B187" s="5" t="s">
        <v>54</v>
      </c>
      <c r="C187" s="5" t="s">
        <v>55</v>
      </c>
      <c r="D187" s="5" t="s">
        <v>56</v>
      </c>
      <c r="E187" s="5" t="s">
        <v>57</v>
      </c>
      <c r="F187" s="5" t="s">
        <v>58</v>
      </c>
      <c r="G187" s="5" t="s">
        <v>57</v>
      </c>
      <c r="H187" s="5" t="s">
        <v>59</v>
      </c>
      <c r="I187" s="5" t="s">
        <v>60</v>
      </c>
      <c r="J187" s="5" t="s">
        <v>57</v>
      </c>
      <c r="K187" s="5" t="s">
        <v>22</v>
      </c>
      <c r="L187" s="5" t="s">
        <v>61</v>
      </c>
      <c r="M187" s="5" t="s">
        <v>62</v>
      </c>
      <c r="N187" s="5" t="s">
        <v>25</v>
      </c>
    </row>
    <row r="188" spans="1:14" ht="42.75">
      <c r="A188" s="5" t="s">
        <v>395</v>
      </c>
      <c r="B188" s="5" t="s">
        <v>63</v>
      </c>
      <c r="C188" s="5" t="s">
        <v>172</v>
      </c>
      <c r="D188" s="5" t="s">
        <v>173</v>
      </c>
      <c r="E188" s="5" t="s">
        <v>174</v>
      </c>
      <c r="F188" s="5" t="s">
        <v>175</v>
      </c>
      <c r="G188" s="5" t="s">
        <v>174</v>
      </c>
      <c r="H188" s="5" t="s">
        <v>67</v>
      </c>
      <c r="I188" s="5" t="s">
        <v>38</v>
      </c>
      <c r="J188" s="5" t="s">
        <v>174</v>
      </c>
      <c r="K188" s="5" t="s">
        <v>22</v>
      </c>
      <c r="L188" s="5" t="s">
        <v>61</v>
      </c>
      <c r="M188" s="5" t="s">
        <v>68</v>
      </c>
      <c r="N188" s="5" t="s">
        <v>25</v>
      </c>
    </row>
    <row r="189" spans="1:14" ht="42.75">
      <c r="A189" s="5" t="s">
        <v>395</v>
      </c>
      <c r="B189" s="5" t="s">
        <v>69</v>
      </c>
      <c r="C189" s="5" t="s">
        <v>403</v>
      </c>
      <c r="D189" s="5" t="s">
        <v>407</v>
      </c>
      <c r="E189" s="5" t="s">
        <v>405</v>
      </c>
      <c r="F189" s="5" t="s">
        <v>406</v>
      </c>
      <c r="G189" s="5" t="s">
        <v>405</v>
      </c>
      <c r="H189" s="5" t="s">
        <v>73</v>
      </c>
      <c r="I189" s="5" t="s">
        <v>38</v>
      </c>
      <c r="J189" s="5" t="s">
        <v>405</v>
      </c>
      <c r="K189" s="5" t="s">
        <v>22</v>
      </c>
      <c r="L189" s="5" t="s">
        <v>61</v>
      </c>
      <c r="M189" s="5" t="s">
        <v>74</v>
      </c>
      <c r="N189" s="5" t="s">
        <v>25</v>
      </c>
    </row>
    <row r="190" spans="1:14" ht="42.75">
      <c r="A190" s="5" t="s">
        <v>395</v>
      </c>
      <c r="B190" s="5" t="s">
        <v>75</v>
      </c>
      <c r="C190" s="5" t="s">
        <v>76</v>
      </c>
      <c r="D190" s="5" t="s">
        <v>77</v>
      </c>
      <c r="E190" s="5" t="s">
        <v>78</v>
      </c>
      <c r="F190" s="5" t="s">
        <v>79</v>
      </c>
      <c r="G190" s="5" t="s">
        <v>78</v>
      </c>
      <c r="H190" s="5" t="s">
        <v>80</v>
      </c>
      <c r="I190" s="5" t="s">
        <v>81</v>
      </c>
      <c r="J190" s="5" t="s">
        <v>78</v>
      </c>
      <c r="K190" s="5" t="s">
        <v>22</v>
      </c>
      <c r="L190" s="5" t="s">
        <v>61</v>
      </c>
      <c r="M190" s="5" t="s">
        <v>82</v>
      </c>
      <c r="N190" s="5" t="s">
        <v>25</v>
      </c>
    </row>
    <row r="191" spans="1:14" ht="42.75">
      <c r="A191" s="5" t="s">
        <v>395</v>
      </c>
      <c r="B191" s="5" t="s">
        <v>83</v>
      </c>
      <c r="C191" s="5" t="s">
        <v>84</v>
      </c>
      <c r="D191" s="5" t="s">
        <v>85</v>
      </c>
      <c r="E191" s="5" t="s">
        <v>86</v>
      </c>
      <c r="F191" s="5" t="s">
        <v>87</v>
      </c>
      <c r="G191" s="5" t="s">
        <v>86</v>
      </c>
      <c r="H191" s="5" t="s">
        <v>88</v>
      </c>
      <c r="I191" s="5" t="s">
        <v>89</v>
      </c>
      <c r="J191" s="5" t="s">
        <v>86</v>
      </c>
      <c r="K191" s="5" t="s">
        <v>22</v>
      </c>
      <c r="L191" s="5" t="s">
        <v>39</v>
      </c>
      <c r="M191" s="5" t="s">
        <v>90</v>
      </c>
      <c r="N191" s="5" t="s">
        <v>25</v>
      </c>
    </row>
    <row r="192" spans="1:14" ht="42.75">
      <c r="A192" s="5" t="s">
        <v>408</v>
      </c>
      <c r="B192" s="5" t="s">
        <v>15</v>
      </c>
      <c r="C192" s="5" t="s">
        <v>409</v>
      </c>
      <c r="D192" s="5" t="s">
        <v>410</v>
      </c>
      <c r="E192" s="5" t="s">
        <v>411</v>
      </c>
      <c r="F192" s="5" t="s">
        <v>19</v>
      </c>
      <c r="G192" s="5" t="s">
        <v>411</v>
      </c>
      <c r="H192" s="5" t="s">
        <v>20</v>
      </c>
      <c r="I192" s="5" t="s">
        <v>21</v>
      </c>
      <c r="J192" s="5" t="s">
        <v>411</v>
      </c>
      <c r="K192" s="5" t="s">
        <v>22</v>
      </c>
      <c r="L192" s="5" t="s">
        <v>23</v>
      </c>
      <c r="M192" s="5" t="s">
        <v>24</v>
      </c>
      <c r="N192" s="5" t="s">
        <v>25</v>
      </c>
    </row>
    <row r="193" spans="1:14" ht="42.75">
      <c r="A193" s="5" t="s">
        <v>408</v>
      </c>
      <c r="B193" s="5" t="s">
        <v>26</v>
      </c>
      <c r="C193" s="5" t="s">
        <v>412</v>
      </c>
      <c r="D193" s="5" t="s">
        <v>413</v>
      </c>
      <c r="E193" s="5" t="s">
        <v>414</v>
      </c>
      <c r="F193" s="5" t="s">
        <v>19</v>
      </c>
      <c r="G193" s="5" t="s">
        <v>414</v>
      </c>
      <c r="H193" s="5" t="s">
        <v>29</v>
      </c>
      <c r="I193" s="5" t="s">
        <v>30</v>
      </c>
      <c r="J193" s="5" t="s">
        <v>414</v>
      </c>
      <c r="K193" s="5" t="s">
        <v>22</v>
      </c>
      <c r="L193" s="5" t="s">
        <v>23</v>
      </c>
      <c r="M193" s="5" t="s">
        <v>31</v>
      </c>
      <c r="N193" s="5" t="s">
        <v>25</v>
      </c>
    </row>
    <row r="194" spans="1:14" ht="42.75">
      <c r="A194" s="5" t="s">
        <v>408</v>
      </c>
      <c r="B194" s="5" t="s">
        <v>32</v>
      </c>
      <c r="C194" s="5" t="s">
        <v>415</v>
      </c>
      <c r="D194" s="5" t="s">
        <v>297</v>
      </c>
      <c r="E194" s="5" t="s">
        <v>416</v>
      </c>
      <c r="F194" s="5" t="s">
        <v>19</v>
      </c>
      <c r="G194" s="5" t="s">
        <v>416</v>
      </c>
      <c r="H194" s="5" t="s">
        <v>37</v>
      </c>
      <c r="I194" s="5" t="s">
        <v>38</v>
      </c>
      <c r="J194" s="5" t="s">
        <v>416</v>
      </c>
      <c r="K194" s="5" t="s">
        <v>22</v>
      </c>
      <c r="L194" s="5" t="s">
        <v>39</v>
      </c>
      <c r="M194" s="5" t="s">
        <v>40</v>
      </c>
      <c r="N194" s="5" t="s">
        <v>25</v>
      </c>
    </row>
    <row r="195" spans="1:14" ht="42.75">
      <c r="A195" s="5" t="s">
        <v>408</v>
      </c>
      <c r="B195" s="5" t="s">
        <v>41</v>
      </c>
      <c r="C195" s="5" t="s">
        <v>167</v>
      </c>
      <c r="D195" s="5" t="s">
        <v>280</v>
      </c>
      <c r="E195" s="5" t="s">
        <v>168</v>
      </c>
      <c r="F195" s="5" t="s">
        <v>19</v>
      </c>
      <c r="G195" s="5" t="s">
        <v>168</v>
      </c>
      <c r="H195" s="5" t="s">
        <v>45</v>
      </c>
      <c r="I195" s="5" t="s">
        <v>21</v>
      </c>
      <c r="J195" s="5" t="s">
        <v>168</v>
      </c>
      <c r="K195" s="5" t="s">
        <v>22</v>
      </c>
      <c r="L195" s="5" t="s">
        <v>39</v>
      </c>
      <c r="M195" s="5" t="s">
        <v>46</v>
      </c>
      <c r="N195" s="5" t="s">
        <v>25</v>
      </c>
    </row>
    <row r="196" spans="1:14" ht="42.75">
      <c r="A196" s="5" t="s">
        <v>408</v>
      </c>
      <c r="B196" s="5" t="s">
        <v>47</v>
      </c>
      <c r="C196" s="5" t="s">
        <v>417</v>
      </c>
      <c r="D196" s="5" t="s">
        <v>418</v>
      </c>
      <c r="E196" s="5" t="s">
        <v>419</v>
      </c>
      <c r="F196" s="5" t="s">
        <v>51</v>
      </c>
      <c r="G196" s="5" t="s">
        <v>419</v>
      </c>
      <c r="H196" s="5" t="s">
        <v>52</v>
      </c>
      <c r="I196" s="5" t="s">
        <v>21</v>
      </c>
      <c r="J196" s="5" t="s">
        <v>419</v>
      </c>
      <c r="K196" s="5" t="s">
        <v>22</v>
      </c>
      <c r="L196" s="5" t="s">
        <v>39</v>
      </c>
      <c r="M196" s="5" t="s">
        <v>53</v>
      </c>
      <c r="N196" s="5" t="s">
        <v>25</v>
      </c>
    </row>
    <row r="197" spans="1:14" ht="42.75">
      <c r="A197" s="5" t="s">
        <v>408</v>
      </c>
      <c r="B197" s="5" t="s">
        <v>54</v>
      </c>
      <c r="C197" s="5" t="s">
        <v>55</v>
      </c>
      <c r="D197" s="5" t="s">
        <v>56</v>
      </c>
      <c r="E197" s="5" t="s">
        <v>57</v>
      </c>
      <c r="F197" s="5" t="s">
        <v>58</v>
      </c>
      <c r="G197" s="5" t="s">
        <v>57</v>
      </c>
      <c r="H197" s="5" t="s">
        <v>59</v>
      </c>
      <c r="I197" s="5" t="s">
        <v>60</v>
      </c>
      <c r="J197" s="5" t="s">
        <v>57</v>
      </c>
      <c r="K197" s="5" t="s">
        <v>22</v>
      </c>
      <c r="L197" s="5" t="s">
        <v>61</v>
      </c>
      <c r="M197" s="5" t="s">
        <v>62</v>
      </c>
      <c r="N197" s="5" t="s">
        <v>25</v>
      </c>
    </row>
    <row r="198" spans="1:14" ht="42.75">
      <c r="A198" s="5" t="s">
        <v>408</v>
      </c>
      <c r="B198" s="5" t="s">
        <v>63</v>
      </c>
      <c r="C198" s="5" t="s">
        <v>172</v>
      </c>
      <c r="D198" s="5" t="s">
        <v>173</v>
      </c>
      <c r="E198" s="5" t="s">
        <v>174</v>
      </c>
      <c r="F198" s="5" t="s">
        <v>175</v>
      </c>
      <c r="G198" s="5" t="s">
        <v>174</v>
      </c>
      <c r="H198" s="5" t="s">
        <v>67</v>
      </c>
      <c r="I198" s="5" t="s">
        <v>38</v>
      </c>
      <c r="J198" s="5" t="s">
        <v>174</v>
      </c>
      <c r="K198" s="5" t="s">
        <v>22</v>
      </c>
      <c r="L198" s="5" t="s">
        <v>61</v>
      </c>
      <c r="M198" s="5" t="s">
        <v>68</v>
      </c>
      <c r="N198" s="5" t="s">
        <v>25</v>
      </c>
    </row>
    <row r="199" spans="1:14" ht="42.75">
      <c r="A199" s="5" t="s">
        <v>408</v>
      </c>
      <c r="B199" s="5" t="s">
        <v>69</v>
      </c>
      <c r="C199" s="5" t="s">
        <v>415</v>
      </c>
      <c r="D199" s="5" t="s">
        <v>420</v>
      </c>
      <c r="E199" s="5" t="s">
        <v>416</v>
      </c>
      <c r="F199" s="5" t="s">
        <v>19</v>
      </c>
      <c r="G199" s="5" t="s">
        <v>416</v>
      </c>
      <c r="H199" s="5" t="s">
        <v>73</v>
      </c>
      <c r="I199" s="5" t="s">
        <v>38</v>
      </c>
      <c r="J199" s="5" t="s">
        <v>416</v>
      </c>
      <c r="K199" s="5" t="s">
        <v>22</v>
      </c>
      <c r="L199" s="5" t="s">
        <v>61</v>
      </c>
      <c r="M199" s="5" t="s">
        <v>74</v>
      </c>
      <c r="N199" s="5" t="s">
        <v>25</v>
      </c>
    </row>
    <row r="200" spans="1:14" ht="42.75">
      <c r="A200" s="5" t="s">
        <v>408</v>
      </c>
      <c r="B200" s="5" t="s">
        <v>75</v>
      </c>
      <c r="C200" s="5" t="s">
        <v>76</v>
      </c>
      <c r="D200" s="5" t="s">
        <v>77</v>
      </c>
      <c r="E200" s="5" t="s">
        <v>78</v>
      </c>
      <c r="F200" s="5" t="s">
        <v>79</v>
      </c>
      <c r="G200" s="5" t="s">
        <v>78</v>
      </c>
      <c r="H200" s="5" t="s">
        <v>80</v>
      </c>
      <c r="I200" s="5" t="s">
        <v>81</v>
      </c>
      <c r="J200" s="5" t="s">
        <v>78</v>
      </c>
      <c r="K200" s="5" t="s">
        <v>22</v>
      </c>
      <c r="L200" s="5" t="s">
        <v>61</v>
      </c>
      <c r="M200" s="5" t="s">
        <v>82</v>
      </c>
      <c r="N200" s="5" t="s">
        <v>25</v>
      </c>
    </row>
    <row r="201" spans="1:14" ht="42.75">
      <c r="A201" s="5" t="s">
        <v>408</v>
      </c>
      <c r="B201" s="5" t="s">
        <v>83</v>
      </c>
      <c r="C201" s="5" t="s">
        <v>84</v>
      </c>
      <c r="D201" s="5" t="s">
        <v>85</v>
      </c>
      <c r="E201" s="5" t="s">
        <v>86</v>
      </c>
      <c r="F201" s="5" t="s">
        <v>87</v>
      </c>
      <c r="G201" s="5" t="s">
        <v>86</v>
      </c>
      <c r="H201" s="5" t="s">
        <v>88</v>
      </c>
      <c r="I201" s="5" t="s">
        <v>89</v>
      </c>
      <c r="J201" s="5" t="s">
        <v>86</v>
      </c>
      <c r="K201" s="5" t="s">
        <v>22</v>
      </c>
      <c r="L201" s="5" t="s">
        <v>39</v>
      </c>
      <c r="M201" s="5" t="s">
        <v>90</v>
      </c>
      <c r="N201" s="5" t="s">
        <v>25</v>
      </c>
    </row>
  </sheetData>
  <dataValidations count="1">
    <dataValidation type="list" sqref="L2:L201" xr:uid="{00000000-0002-0000-0000-000000000000}">
      <formula1>"Core,High,Medium,Low"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25"/>
  <cols>
    <col min="1" max="2" width="45" customWidth="1"/>
  </cols>
  <sheetData>
    <row r="1" spans="1:2" ht="36">
      <c r="A1" s="6" t="s">
        <v>421</v>
      </c>
      <c r="B1" s="6"/>
    </row>
    <row r="2" spans="1:2" ht="42.75">
      <c r="A2" s="3" t="s">
        <v>422</v>
      </c>
      <c r="B2" s="3" t="s">
        <v>423</v>
      </c>
    </row>
    <row r="3" spans="1:2" ht="57">
      <c r="A3" s="3" t="s">
        <v>424</v>
      </c>
      <c r="B3" s="3" t="s">
        <v>425</v>
      </c>
    </row>
    <row r="4" spans="1:2">
      <c r="A4" s="3" t="s">
        <v>426</v>
      </c>
      <c r="B4" s="3" t="s">
        <v>22</v>
      </c>
    </row>
    <row r="5" spans="1:2">
      <c r="A5" s="3" t="s">
        <v>427</v>
      </c>
      <c r="B5" s="3">
        <v>20</v>
      </c>
    </row>
    <row r="6" spans="1:2">
      <c r="A6" s="3" t="s">
        <v>428</v>
      </c>
      <c r="B6" s="3">
        <v>200</v>
      </c>
    </row>
    <row r="7" spans="1:2" ht="85.5">
      <c r="A7" s="3" t="s">
        <v>429</v>
      </c>
      <c r="B7" s="3" t="s">
        <v>430</v>
      </c>
    </row>
    <row r="8" spans="1:2" ht="42.75">
      <c r="A8" s="3" t="s">
        <v>431</v>
      </c>
      <c r="B8" s="3" t="s">
        <v>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4.25"/>
  <cols>
    <col min="1" max="1" width="26" bestFit="1" customWidth="1"/>
    <col min="2" max="2" width="54.375" bestFit="1" customWidth="1"/>
    <col min="3" max="3" width="122.375" bestFit="1" customWidth="1"/>
    <col min="4" max="4" width="114.125" bestFit="1" customWidth="1"/>
  </cols>
  <sheetData>
    <row r="1" spans="1:4" ht="45">
      <c r="A1" s="2" t="s">
        <v>433</v>
      </c>
      <c r="B1" s="2" t="s">
        <v>434</v>
      </c>
      <c r="C1" s="2" t="s">
        <v>435</v>
      </c>
      <c r="D1" s="2" t="s">
        <v>436</v>
      </c>
    </row>
    <row r="2" spans="1:4">
      <c r="A2" t="s">
        <v>437</v>
      </c>
      <c r="B2" t="s">
        <v>438</v>
      </c>
      <c r="C2" t="s">
        <v>439</v>
      </c>
      <c r="D2" t="s">
        <v>440</v>
      </c>
    </row>
    <row r="3" spans="1:4">
      <c r="A3" t="s">
        <v>441</v>
      </c>
      <c r="B3" t="s">
        <v>442</v>
      </c>
      <c r="C3" t="s">
        <v>443</v>
      </c>
      <c r="D3" t="s">
        <v>444</v>
      </c>
    </row>
    <row r="4" spans="1:4">
      <c r="A4" t="s">
        <v>445</v>
      </c>
      <c r="B4" t="s">
        <v>446</v>
      </c>
      <c r="C4" t="s">
        <v>447</v>
      </c>
      <c r="D4" t="s">
        <v>448</v>
      </c>
    </row>
    <row r="5" spans="1:4">
      <c r="A5" t="s">
        <v>449</v>
      </c>
      <c r="B5" t="s">
        <v>450</v>
      </c>
      <c r="C5" t="s">
        <v>451</v>
      </c>
      <c r="D5" t="s">
        <v>452</v>
      </c>
    </row>
    <row r="6" spans="1:4">
      <c r="A6" t="s">
        <v>453</v>
      </c>
      <c r="B6" t="s">
        <v>454</v>
      </c>
      <c r="C6" t="s">
        <v>455</v>
      </c>
      <c r="D6" t="s">
        <v>456</v>
      </c>
    </row>
    <row r="7" spans="1:4">
      <c r="A7" t="s">
        <v>457</v>
      </c>
      <c r="B7" t="s">
        <v>458</v>
      </c>
      <c r="C7" t="s">
        <v>459</v>
      </c>
      <c r="D7" t="s">
        <v>460</v>
      </c>
    </row>
    <row r="8" spans="1:4">
      <c r="A8" t="s">
        <v>461</v>
      </c>
      <c r="B8" t="s">
        <v>462</v>
      </c>
      <c r="C8" t="s">
        <v>463</v>
      </c>
      <c r="D8" t="s">
        <v>464</v>
      </c>
    </row>
    <row r="9" spans="1:4">
      <c r="A9" t="s">
        <v>465</v>
      </c>
      <c r="B9" t="s">
        <v>466</v>
      </c>
      <c r="C9" t="s">
        <v>467</v>
      </c>
      <c r="D9" t="s">
        <v>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/>
  </sheetViews>
  <sheetFormatPr defaultRowHeight="14.25"/>
  <cols>
    <col min="1" max="1" width="23" bestFit="1" customWidth="1"/>
    <col min="2" max="2" width="10" bestFit="1" customWidth="1"/>
    <col min="4" max="4" width="29.5" bestFit="1" customWidth="1"/>
  </cols>
  <sheetData>
    <row r="1" spans="1:4" ht="30">
      <c r="A1" s="2" t="s">
        <v>469</v>
      </c>
      <c r="B1" s="2" t="s">
        <v>470</v>
      </c>
      <c r="C1" s="2" t="s">
        <v>471</v>
      </c>
      <c r="D1" s="2" t="s">
        <v>472</v>
      </c>
    </row>
    <row r="2" spans="1:4">
      <c r="A2" t="s">
        <v>473</v>
      </c>
      <c r="B2" t="s">
        <v>474</v>
      </c>
      <c r="C2" t="s">
        <v>475</v>
      </c>
      <c r="D2" t="s">
        <v>476</v>
      </c>
    </row>
    <row r="3" spans="1:4">
      <c r="A3" t="s">
        <v>477</v>
      </c>
      <c r="B3" t="s">
        <v>474</v>
      </c>
      <c r="C3" t="s">
        <v>475</v>
      </c>
      <c r="D3" t="s">
        <v>476</v>
      </c>
    </row>
    <row r="4" spans="1:4">
      <c r="A4" t="s">
        <v>478</v>
      </c>
      <c r="B4" t="s">
        <v>478</v>
      </c>
      <c r="C4" t="s">
        <v>475</v>
      </c>
      <c r="D4" t="s">
        <v>479</v>
      </c>
    </row>
    <row r="5" spans="1:4">
      <c r="A5" t="s">
        <v>5</v>
      </c>
      <c r="B5" t="s">
        <v>5</v>
      </c>
      <c r="C5" t="s">
        <v>475</v>
      </c>
      <c r="D5" t="s">
        <v>480</v>
      </c>
    </row>
    <row r="6" spans="1:4">
      <c r="A6" t="s">
        <v>0</v>
      </c>
      <c r="B6" t="s">
        <v>481</v>
      </c>
      <c r="C6" t="s">
        <v>475</v>
      </c>
      <c r="D6" t="s">
        <v>482</v>
      </c>
    </row>
    <row r="7" spans="1:4">
      <c r="A7" t="s">
        <v>483</v>
      </c>
      <c r="B7" t="s">
        <v>481</v>
      </c>
      <c r="C7" t="s">
        <v>475</v>
      </c>
      <c r="D7" t="s">
        <v>484</v>
      </c>
    </row>
    <row r="8" spans="1:4">
      <c r="A8" t="s">
        <v>485</v>
      </c>
      <c r="B8" t="s">
        <v>474</v>
      </c>
      <c r="C8" t="s">
        <v>475</v>
      </c>
      <c r="D8" t="s">
        <v>486</v>
      </c>
    </row>
    <row r="9" spans="1:4">
      <c r="A9" t="s">
        <v>487</v>
      </c>
      <c r="B9" t="s">
        <v>488</v>
      </c>
      <c r="C9" t="s">
        <v>475</v>
      </c>
      <c r="D9" t="s">
        <v>489</v>
      </c>
    </row>
    <row r="10" spans="1:4">
      <c r="A10" t="s">
        <v>490</v>
      </c>
      <c r="B10" t="s">
        <v>488</v>
      </c>
      <c r="C10" t="s">
        <v>475</v>
      </c>
      <c r="D10" t="s">
        <v>491</v>
      </c>
    </row>
    <row r="11" spans="1:4">
      <c r="A11" t="s">
        <v>492</v>
      </c>
      <c r="B11" t="s">
        <v>493</v>
      </c>
      <c r="C11" t="s">
        <v>475</v>
      </c>
      <c r="D11" t="s">
        <v>494</v>
      </c>
    </row>
    <row r="12" spans="1:4">
      <c r="A12" t="s">
        <v>495</v>
      </c>
      <c r="B12" t="s">
        <v>481</v>
      </c>
      <c r="C12" t="s">
        <v>475</v>
      </c>
      <c r="D12" t="s">
        <v>496</v>
      </c>
    </row>
    <row r="13" spans="1:4">
      <c r="A13" t="s">
        <v>497</v>
      </c>
      <c r="B13" t="s">
        <v>481</v>
      </c>
      <c r="C13" t="s">
        <v>475</v>
      </c>
      <c r="D13" t="s">
        <v>496</v>
      </c>
    </row>
    <row r="14" spans="1:4">
      <c r="A14" t="s">
        <v>498</v>
      </c>
      <c r="B14" t="s">
        <v>499</v>
      </c>
      <c r="C14" t="s">
        <v>500</v>
      </c>
      <c r="D14" t="s">
        <v>496</v>
      </c>
    </row>
    <row r="15" spans="1:4">
      <c r="A15" t="s">
        <v>501</v>
      </c>
      <c r="B15" t="s">
        <v>474</v>
      </c>
      <c r="C15" t="s">
        <v>502</v>
      </c>
      <c r="D15" t="s">
        <v>503</v>
      </c>
    </row>
    <row r="16" spans="1:4">
      <c r="A16" t="s">
        <v>504</v>
      </c>
      <c r="B16" t="s">
        <v>493</v>
      </c>
      <c r="C16" t="s">
        <v>475</v>
      </c>
      <c r="D16" t="s">
        <v>505</v>
      </c>
    </row>
    <row r="17" spans="1:4">
      <c r="A17" t="s">
        <v>506</v>
      </c>
      <c r="B17" t="s">
        <v>488</v>
      </c>
      <c r="C17" t="s">
        <v>475</v>
      </c>
      <c r="D17" t="s">
        <v>507</v>
      </c>
    </row>
    <row r="18" spans="1:4">
      <c r="A18" t="s">
        <v>457</v>
      </c>
      <c r="B18" t="s">
        <v>508</v>
      </c>
      <c r="C18" t="s">
        <v>475</v>
      </c>
      <c r="D18" t="s">
        <v>509</v>
      </c>
    </row>
    <row r="19" spans="1:4">
      <c r="A19" t="s">
        <v>510</v>
      </c>
      <c r="B19" t="s">
        <v>508</v>
      </c>
      <c r="C19" t="s">
        <v>475</v>
      </c>
      <c r="D19" t="s">
        <v>509</v>
      </c>
    </row>
    <row r="20" spans="1:4">
      <c r="A20" t="s">
        <v>511</v>
      </c>
      <c r="B20" t="s">
        <v>508</v>
      </c>
      <c r="C20" t="s">
        <v>475</v>
      </c>
      <c r="D20" t="s">
        <v>509</v>
      </c>
    </row>
    <row r="21" spans="1:4">
      <c r="A21" t="s">
        <v>512</v>
      </c>
      <c r="B21" t="s">
        <v>508</v>
      </c>
      <c r="C21" t="s">
        <v>475</v>
      </c>
      <c r="D21" t="s">
        <v>509</v>
      </c>
    </row>
    <row r="22" spans="1:4">
      <c r="A22" t="s">
        <v>513</v>
      </c>
      <c r="B22" t="s">
        <v>514</v>
      </c>
      <c r="C22" t="s">
        <v>475</v>
      </c>
      <c r="D22" t="s">
        <v>515</v>
      </c>
    </row>
    <row r="23" spans="1:4">
      <c r="A23" t="s">
        <v>516</v>
      </c>
      <c r="B23" t="s">
        <v>517</v>
      </c>
      <c r="C23" t="s">
        <v>502</v>
      </c>
      <c r="D23" t="s">
        <v>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selection activeCell="D1" sqref="D1:D1048576"/>
    </sheetView>
  </sheetViews>
  <sheetFormatPr defaultRowHeight="14.25"/>
  <cols>
    <col min="1" max="1" width="38.5" bestFit="1" customWidth="1"/>
    <col min="2" max="2" width="117.875" bestFit="1" customWidth="1"/>
    <col min="3" max="3" width="49.25" bestFit="1" customWidth="1"/>
  </cols>
  <sheetData>
    <row r="1" spans="1:3" ht="30">
      <c r="A1" s="2" t="s">
        <v>519</v>
      </c>
      <c r="B1" s="2" t="s">
        <v>520</v>
      </c>
      <c r="C1" s="2" t="s">
        <v>521</v>
      </c>
    </row>
    <row r="2" spans="1:3">
      <c r="A2" t="s">
        <v>522</v>
      </c>
      <c r="B2" t="s">
        <v>523</v>
      </c>
      <c r="C2" t="s">
        <v>524</v>
      </c>
    </row>
    <row r="3" spans="1:3">
      <c r="A3" t="s">
        <v>525</v>
      </c>
      <c r="B3" t="s">
        <v>526</v>
      </c>
      <c r="C3" t="s">
        <v>527</v>
      </c>
    </row>
    <row r="4" spans="1:3">
      <c r="A4" t="s">
        <v>528</v>
      </c>
      <c r="B4" t="s">
        <v>283</v>
      </c>
      <c r="C4" t="s">
        <v>529</v>
      </c>
    </row>
    <row r="5" spans="1:3">
      <c r="A5" t="s">
        <v>530</v>
      </c>
      <c r="B5" t="s">
        <v>531</v>
      </c>
      <c r="C5" t="s">
        <v>532</v>
      </c>
    </row>
    <row r="6" spans="1:3">
      <c r="A6" t="s">
        <v>533</v>
      </c>
      <c r="B6" t="s">
        <v>534</v>
      </c>
      <c r="C6" t="s">
        <v>535</v>
      </c>
    </row>
    <row r="7" spans="1:3">
      <c r="A7" t="s">
        <v>536</v>
      </c>
      <c r="B7" t="s">
        <v>86</v>
      </c>
      <c r="C7" t="s">
        <v>537</v>
      </c>
    </row>
    <row r="8" spans="1:3">
      <c r="A8" t="s">
        <v>538</v>
      </c>
      <c r="B8" t="s">
        <v>539</v>
      </c>
      <c r="C8" t="s">
        <v>540</v>
      </c>
    </row>
    <row r="9" spans="1:3">
      <c r="A9" t="s">
        <v>541</v>
      </c>
      <c r="B9" t="s">
        <v>57</v>
      </c>
      <c r="C9" t="s">
        <v>542</v>
      </c>
    </row>
    <row r="10" spans="1:3">
      <c r="A10" t="s">
        <v>543</v>
      </c>
      <c r="B10" t="s">
        <v>78</v>
      </c>
      <c r="C10" t="s">
        <v>544</v>
      </c>
    </row>
    <row r="11" spans="1:3">
      <c r="A11" t="s">
        <v>545</v>
      </c>
      <c r="B11" t="s">
        <v>546</v>
      </c>
      <c r="C11" t="s">
        <v>547</v>
      </c>
    </row>
    <row r="12" spans="1:3">
      <c r="A12" t="s">
        <v>548</v>
      </c>
      <c r="B12" t="s">
        <v>549</v>
      </c>
      <c r="C12" t="s">
        <v>550</v>
      </c>
    </row>
    <row r="13" spans="1:3">
      <c r="A13" t="s">
        <v>551</v>
      </c>
      <c r="B13" t="s">
        <v>552</v>
      </c>
      <c r="C13" t="s">
        <v>553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RowHeight="14.25"/>
  <cols>
    <col min="1" max="2" width="28" customWidth="1"/>
  </cols>
  <sheetData>
    <row r="1" spans="1:2" ht="15">
      <c r="A1" s="1" t="s">
        <v>554</v>
      </c>
      <c r="B1" s="1" t="s">
        <v>555</v>
      </c>
    </row>
    <row r="2" spans="1:2">
      <c r="A2" t="s">
        <v>556</v>
      </c>
      <c r="B2">
        <f ca="1">COUNTA(_xludf.UNIQUE('Verified Resources'!A2:A201))</f>
        <v>1</v>
      </c>
    </row>
    <row r="3" spans="1:2">
      <c r="A3" t="s">
        <v>557</v>
      </c>
      <c r="B3">
        <f>COUNTA('Verified Resources'!A2:A201)</f>
        <v>200</v>
      </c>
    </row>
    <row r="4" spans="1:2">
      <c r="A4" t="s">
        <v>558</v>
      </c>
      <c r="B4">
        <f>COUNTIF('Verified Resources'!L2:L201,"Core")</f>
        <v>40</v>
      </c>
    </row>
    <row r="5" spans="1:2">
      <c r="A5" t="s">
        <v>559</v>
      </c>
      <c r="B5">
        <f>COUNTIF('Verified Resources'!L2:L201,"High")</f>
        <v>80</v>
      </c>
    </row>
    <row r="6" spans="1:2">
      <c r="A6" t="s">
        <v>560</v>
      </c>
      <c r="B6">
        <f>COUNTIF('Verified Resources'!L2:L201,"Medium")</f>
        <v>80</v>
      </c>
    </row>
    <row r="7" spans="1:2">
      <c r="A7" t="s">
        <v>561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Verified Resources</vt:lpstr>
      <vt:lpstr>README</vt:lpstr>
      <vt:lpstr>Matching Rules</vt:lpstr>
      <vt:lpstr>Intake Fields</vt:lpstr>
      <vt:lpstr>Key Sources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Kreischer</cp:lastModifiedBy>
  <dcterms:modified xsi:type="dcterms:W3CDTF">2026-07-09T18:19:39Z</dcterms:modified>
</cp:coreProperties>
</file>