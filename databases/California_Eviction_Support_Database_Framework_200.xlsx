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6383679c6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Resources" sheetId="1" r:id="R409b01f029d64244"/>
    <x:sheet xmlns:r="http://schemas.openxmlformats.org/officeDocument/2006/relationships" name="README" sheetId="2" r:id="Rb533707871aa4ca4"/>
    <x:sheet xmlns:r="http://schemas.openxmlformats.org/officeDocument/2006/relationships" name="Matching Rules" sheetId="3" r:id="R23e16dbcd4034a62"/>
    <x:sheet xmlns:r="http://schemas.openxmlformats.org/officeDocument/2006/relationships" name="Intake Fields" sheetId="4" r:id="Rba0fa82d6cc649ee"/>
    <x:sheet xmlns:r="http://schemas.openxmlformats.org/officeDocument/2006/relationships" name="Key Sources" sheetId="5" r:id="Rfb61a6d6b88e451d"/>
    <x:sheet xmlns:r="http://schemas.openxmlformats.org/officeDocument/2006/relationships" name="Summary" sheetId="6" r:id="R13e3de601978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e344161f142a6" /><Relationship Type="http://schemas.openxmlformats.org/officeDocument/2006/relationships/theme" Target="/xl/theme/theme1.xml" Id="R65ef408ddc5e4ec1" /><Relationship Type="http://schemas.openxmlformats.org/officeDocument/2006/relationships/sharedStrings" Target="/xl/sharedStrings.xml" Id="R5c02e9ffceb149d5" /><Relationship Type="http://schemas.openxmlformats.org/officeDocument/2006/relationships/worksheet" Target="/xl/worksheets/sheet1.xml" Id="R409b01f029d64244" /><Relationship Type="http://schemas.openxmlformats.org/officeDocument/2006/relationships/worksheet" Target="/xl/worksheets/sheet2.xml" Id="Rb533707871aa4ca4" /><Relationship Type="http://schemas.openxmlformats.org/officeDocument/2006/relationships/worksheet" Target="/xl/worksheets/sheet3.xml" Id="R23e16dbcd4034a62" /><Relationship Type="http://schemas.openxmlformats.org/officeDocument/2006/relationships/worksheet" Target="/xl/worksheets/sheet4.xml" Id="Rba0fa82d6cc649ee" /><Relationship Type="http://schemas.openxmlformats.org/officeDocument/2006/relationships/worksheet" Target="/xl/worksheets/sheet5.xml" Id="Rfb61a6d6b88e451d" /><Relationship Type="http://schemas.openxmlformats.org/officeDocument/2006/relationships/worksheet" Target="/xl/worksheets/sheet6.xml" Id="R13e3de6019784462" /></Relationships>
</file>

<file path=xl/tables/table1.xml><?xml version="1.0" encoding="utf-8"?>
<x:table xmlns:x="http://schemas.openxmlformats.org/spreadsheetml/2006/main" id="1" name="CaliforniaResourceTable" displayName="CaliforniaResourceTable" ref="A1:N201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MatchingRulesTable" displayName="MatchingRulesTable" ref="A1:D9" headerRowCount="1">
  <x:tableColumns count="4">
    <x:tableColumn id="1" name="Rule Name"/>
    <x:tableColumn id="2" name="Condition"/>
    <x:tableColumn id="3" name="Prioritize Categories"/>
    <x:tableColumn id="4" name="Output Guidance"/>
  </x:tableColumns>
  <x:tableStyleInfo name="TableStyleMedium2" showRowStripes="1"/>
</x:table>
</file>

<file path=xl/tables/table3.xml><?xml version="1.0" encoding="utf-8"?>
<x:table xmlns:x="http://schemas.openxmlformats.org/spreadsheetml/2006/main" id="3" name="IntakeFieldsTable" displayName="IntakeFieldsTable" ref="A1:D23" headerRowCount="1">
  <x:tableColumns count="4">
    <x:tableColumn id="1" name="Field"/>
    <x:tableColumn id="2" name="Type"/>
    <x:tableColumn id="3" name="Required"/>
    <x:tableColumn id="4" name="Used For"/>
  </x:tableColumns>
  <x:tableStyleInfo name="TableStyleMedium2" showRowStripes="1"/>
</x:table>
</file>

<file path=xl/tables/table4.xml><?xml version="1.0" encoding="utf-8"?>
<x:table xmlns:x="http://schemas.openxmlformats.org/spreadsheetml/2006/main" id="4" name="KeySourcesTable" displayName="KeySourcesTable" ref="A1:C13" headerRowCount="1">
  <x:tableColumns count="3">
    <x:tableColumn id="1" name="Source"/>
    <x:tableColumn id="2" name="URL"/>
    <x:tableColumn id="3" name="Why It Matters"/>
  </x:tableColumns>
  <x:tableStyleInfo name="TableStyleMedium2" showRowStripes="1"/>
</x:table>
</file>

<file path=xl/tables/table5.xml><?xml version="1.0" encoding="utf-8"?>
<x:table xmlns:x="http://schemas.openxmlformats.org/spreadsheetml/2006/main" id="5" name="SummaryTable" displayName="SummaryTable" ref="A1:B7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76373813b149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7cf061cb7e45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0616c6d2744d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4471185d924f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880d4e62784df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45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4" hidden="0" customWidth="1"/>
    <x:col min="14" max="14" width="48" hidden="0" customWidth="1"/>
  </x:cols>
  <x:sheetData>
    <x:row r="1" ht="34" customHeight="1">
      <x:c r="A1" s="6" t="str">
        <x:v>County</x:v>
      </x:c>
      <x:c r="B1" s="6" t="str">
        <x:v>Resource Category</x:v>
      </x:c>
      <x:c r="C1" s="6" t="str">
        <x:v>Organization</x:v>
      </x:c>
      <x:c r="D1" s="6" t="str">
        <x:v>Program / Service</x:v>
      </x:c>
      <x:c r="E1" s="6" t="str">
        <x:v>Website</x:v>
      </x:c>
      <x:c r="F1" s="6" t="str">
        <x:v>Phone</x:v>
      </x:c>
      <x:c r="G1" s="6" t="str">
        <x:v>Application / Intake URL</x:v>
      </x:c>
      <x:c r="H1" s="6" t="str">
        <x:v>Eligibility / Use Notes</x:v>
      </x:c>
      <x:c r="I1" s="6" t="str">
        <x:v>Funding Status</x:v>
      </x:c>
      <x:c r="J1" s="6" t="str">
        <x:v>Verification Source URL</x:v>
      </x:c>
      <x:c r="K1" s="6" t="str">
        <x:v>Verified Date</x:v>
      </x:c>
      <x:c r="L1" s="6" t="str">
        <x:v>Priority</x:v>
      </x:c>
      <x:c r="M1" s="6" t="str">
        <x:v>Match Tags</x:v>
      </x:c>
      <x:c r="N1" s="6" t="str">
        <x:v>Internal QA Notes</x:v>
      </x:c>
    </x:row>
    <x:row r="2" ht="48" customHeight="1">
      <x:c r="A2" t="str">
        <x:v>Los Angeles</x:v>
      </x:c>
      <x:c r="B2" t="str">
        <x:v>County Housing Department</x:v>
      </x:c>
      <x:c r="C2" t="str">
        <x:v>Los Angeles County Housing Department</x:v>
      </x:c>
      <x:c r="D2" t="str">
        <x:v>County-specific resource slot / local program lookup</x:v>
      </x:c>
      <x:c r="E2" t="str">
        <x:v>https://www.hcd.ca.gov/</x:v>
      </x:c>
      <x:c r="F2" t="str">
        <x:v>Research / verify</x:v>
      </x:c>
      <x:c r="G2" t="str">
        <x:v>https://www.hcd.ca.gov/</x:v>
      </x:c>
      <x:c r="H2" t="str">
        <x:v>County housing/community development office; first stop for local program status.</x:v>
      </x:c>
      <x:c r="I2" t="str">
        <x:v>Verify local program status</x:v>
      </x:c>
      <x:c r="J2" t="str">
        <x:v>https://www.hcd.ca.gov/</x:v>
      </x:c>
      <x:c r="K2" t="str">
        <x:v>2026-07-09</x:v>
      </x:c>
      <x:c r="L2" t="str">
        <x:v>Core</x:v>
      </x:c>
      <x:c r="M2" t="str">
        <x:v>county,housing,program status</x:v>
      </x:c>
      <x:c r="N2" t="str">
        <x:v>Framework row. Verify the specific local office, phone, application page, and open/closed status before using in a customer report.</x:v>
      </x:c>
    </x:row>
    <x:row r="3" ht="48" customHeight="1">
      <x:c r="A3" t="str">
        <x:v>Los Angeles</x:v>
      </x:c>
      <x:c r="B3" t="str">
        <x:v>Local Housing Authority</x:v>
      </x:c>
      <x:c r="C3" t="str">
        <x:v>Los Angeles Local Housing Authority</x:v>
      </x:c>
      <x:c r="D3" t="str">
        <x:v>County-specific resource slot / local program lookup</x:v>
      </x:c>
      <x:c r="E3" t="str">
        <x:v>https://www.hud.gov/states/california/renting</x:v>
      </x:c>
      <x:c r="F3" t="str">
        <x:v>Research / verify</x:v>
      </x:c>
      <x:c r="G3" t="str">
        <x:v>https://www.hud.gov/states/california/renting</x:v>
      </x:c>
      <x:c r="H3" t="str">
        <x:v>Public housing/voucher agency or local housing authority resource; may not provide emergency rent grants.</x:v>
      </x:c>
      <x:c r="I3" t="str">
        <x:v>Verify service area and waitlist/intake status</x:v>
      </x:c>
      <x:c r="J3" t="str">
        <x:v>https://www.hud.gov/states/california/renting</x:v>
      </x:c>
      <x:c r="K3" t="str">
        <x:v>2026-07-09</x:v>
      </x:c>
      <x:c r="L3" t="str">
        <x:v>Core</x:v>
      </x:c>
      <x:c r="M3" t="str">
        <x:v>housing authority,subsidy,public housing,voucher</x:v>
      </x:c>
      <x:c r="N3" t="str">
        <x:v>Framework row. Verify the specific local office, phone, application page, and open/closed status before using in a customer report.</x:v>
      </x:c>
    </x:row>
    <x:row r="4" ht="48" customHeight="1">
      <x:c r="A4" t="str">
        <x:v>Los Angeles</x:v>
      </x:c>
      <x:c r="B4" t="str">
        <x:v>Emergency Rental / Housing Assistance</x:v>
      </x:c>
      <x:c r="C4" t="str">
        <x:v>Los Angeles Emergency Rental / Housing Assistance</x:v>
      </x:c>
      <x:c r="D4" t="str">
        <x:v>County-specific resource slot / local program lookup</x:v>
      </x:c>
      <x:c r="E4" t="str">
        <x:v>https://www.211ca.org/</x:v>
      </x:c>
      <x:c r="F4" t="str">
        <x:v>Research / verify</x:v>
      </x:c>
      <x:c r="G4" t="str">
        <x:v>https://www.211ca.org/</x:v>
      </x:c>
      <x:c r="H4" t="str">
        <x:v>Direct rent, deposit, relocation, homeless prevention, or housing stabilization resource where available; funding can open/close.</x:v>
      </x:c>
      <x:c r="I4" t="str">
        <x:v>Funding/appointments may open and close</x:v>
      </x:c>
      <x:c r="J4" t="str">
        <x:v>https://www.211ca.org/</x:v>
      </x:c>
      <x:c r="K4" t="str">
        <x:v>2026-07-09</x:v>
      </x:c>
      <x:c r="L4" t="str">
        <x:v>High</x:v>
      </x:c>
      <x:c r="M4" t="str">
        <x:v>rent,eviction,emergency,homeless prevention</x:v>
      </x:c>
      <x:c r="N4" t="str">
        <x:v>Framework row. Verify the specific local office, phone, application page, and open/closed status before using in a customer report.</x:v>
      </x:c>
    </x:row>
    <x:row r="5" ht="48" customHeight="1">
      <x:c r="A5" t="str">
        <x:v>Los Angeles</x:v>
      </x:c>
      <x:c r="B5" t="str">
        <x:v>Legal Aid / Eviction Defense</x:v>
      </x:c>
      <x:c r="C5" t="str">
        <x:v>Los Angeles Legal Aid / Eviction Defense</x:v>
      </x:c>
      <x:c r="D5" t="str">
        <x:v>County-specific resource slot / local program lookup</x:v>
      </x:c>
      <x:c r="E5" t="str">
        <x:v>https://www.lawhelpca.org/</x:v>
      </x:c>
      <x:c r="F5" t="str">
        <x:v>Research / verify</x:v>
      </x:c>
      <x:c r="G5" t="str">
        <x:v>https://www.lawhelpca.org/</x:v>
      </x:c>
      <x:c r="H5" t="str">
        <x:v>Free/low-cost tenant legal help or eviction resources for eligible tenants.</x:v>
      </x:c>
      <x:c r="I5" t="str">
        <x:v>Verify intake requirements</x:v>
      </x:c>
      <x:c r="J5" t="str">
        <x:v>https://www.lawhelpca.org/</x:v>
      </x:c>
      <x:c r="K5" t="str">
        <x:v>2026-07-09</x:v>
      </x:c>
      <x:c r="L5" t="str">
        <x:v>High</x:v>
      </x:c>
      <x:c r="M5" t="str">
        <x:v>legal aid,eviction,court,tenant rights</x:v>
      </x:c>
      <x:c r="N5" t="str">
        <x:v>Framework row. Verify the specific local office, phone, application page, and open/closed status before using in a customer report.</x:v>
      </x:c>
    </x:row>
    <x:row r="6" ht="48" customHeight="1">
      <x:c r="A6" t="str">
        <x:v>Los Angeles</x:v>
      </x:c>
      <x:c r="B6" t="str">
        <x:v>United Way / 211</x:v>
      </x:c>
      <x:c r="C6" t="str">
        <x:v>Los Angeles United Way / 211</x:v>
      </x:c>
      <x:c r="D6" t="str">
        <x:v>County-specific resource slot / local program lookup</x:v>
      </x:c>
      <x:c r="E6" t="str">
        <x:v>https://www.211ca.org/</x:v>
      </x:c>
      <x:c r="F6" t="str">
        <x:v>Research / verify</x:v>
      </x:c>
      <x:c r="G6" t="str">
        <x:v>https://www.211ca.org/</x:v>
      </x:c>
      <x:c r="H6" t="str">
        <x:v>Referral hub for rent, utilities, food, shelter and emergency resources.</x:v>
      </x:c>
      <x:c r="I6" t="str">
        <x:v>Verify local referral availability</x:v>
      </x:c>
      <x:c r="J6" t="str">
        <x:v>https://www.211ca.org/</x:v>
      </x:c>
      <x:c r="K6" t="str">
        <x:v>2026-07-09</x:v>
      </x:c>
      <x:c r="L6" t="str">
        <x:v>High</x:v>
      </x:c>
      <x:c r="M6" t="str">
        <x:v>211,referral,rent,utilities</x:v>
      </x:c>
      <x:c r="N6" t="str">
        <x:v>Framework row. Verify the specific local office, phone, application page, and open/closed status before using in a customer report.</x:v>
      </x:c>
    </x:row>
    <x:row r="7" ht="48" customHeight="1">
      <x:c r="A7" t="str">
        <x:v>Los Angeles</x:v>
      </x:c>
      <x:c r="B7" t="str">
        <x:v>Salvation Army</x:v>
      </x:c>
      <x:c r="C7" t="str">
        <x:v>Los Angeles Salvation Army</x:v>
      </x:c>
      <x:c r="D7" t="str">
        <x:v>County-specific resource slot / local program lookup</x:v>
      </x:c>
      <x:c r="E7" t="str">
        <x:v>https://westernusa.salvationarmy.org/</x:v>
      </x:c>
      <x:c r="F7" t="str">
        <x:v>Research / verify</x:v>
      </x:c>
      <x:c r="G7" t="str">
        <x:v>https://westernusa.salvationarmy.org/</x:v>
      </x:c>
      <x:c r="H7" t="str">
        <x:v>Faith-based emergency aid resource; assistance varies by branch, county and funding cycle.</x:v>
      </x:c>
      <x:c r="I7" t="str">
        <x:v>Funding/appointments may open and close</x:v>
      </x:c>
      <x:c r="J7" t="str">
        <x:v>https://westernusa.salvationarmy.org/</x:v>
      </x:c>
      <x:c r="K7" t="str">
        <x:v>2026-07-09</x:v>
      </x:c>
      <x:c r="L7" t="str">
        <x:v>Medium</x:v>
      </x:c>
      <x:c r="M7" t="str">
        <x:v>salvation army,rent,utilities,emergency aid</x:v>
      </x:c>
      <x:c r="N7" t="str">
        <x:v>Framework row. Verify the specific local office, phone, application page, and open/closed status before using in a customer report.</x:v>
      </x:c>
    </x:row>
    <x:row r="8" ht="48" customHeight="1">
      <x:c r="A8" t="str">
        <x:v>Los Angeles</x:v>
      </x:c>
      <x:c r="B8" t="str">
        <x:v>Catholic Charities / Faith-Based Emergency Aid</x:v>
      </x:c>
      <x:c r="C8" t="str">
        <x:v>Los Angeles Catholic Charities / Faith-Based Emergency Aid</x:v>
      </x:c>
      <x:c r="D8" t="str">
        <x:v>County-specific resource slot / local program lookup</x:v>
      </x:c>
      <x:c r="E8" t="str">
        <x:v>https://www.catholiccharitiesusa.org/find-help/</x:v>
      </x:c>
      <x:c r="F8" t="str">
        <x:v>Research / verify</x:v>
      </x:c>
      <x:c r="G8" t="str">
        <x:v>https://www.catholiccharitiesusa.org/find-help/</x:v>
      </x:c>
      <x:c r="H8" t="str">
        <x:v>Faith-based rent, utility, family support, immigrant/refugee or emergency services resource where available.</x:v>
      </x:c>
      <x:c r="I8" t="str">
        <x:v>Funding/appointments may open and close</x:v>
      </x:c>
      <x:c r="J8" t="str">
        <x:v>https://www.catholiccharitiesusa.org/find-help/</x:v>
      </x:c>
      <x:c r="K8" t="str">
        <x:v>2026-07-09</x:v>
      </x:c>
      <x:c r="L8" t="str">
        <x:v>Medium</x:v>
      </x:c>
      <x:c r="M8" t="str">
        <x:v>catholic charities,faith based,rent,utilities</x:v>
      </x:c>
      <x:c r="N8" t="str">
        <x:v>Framework row. Verify the specific local office, phone, application page, and open/closed status before using in a customer report.</x:v>
      </x:c>
    </x:row>
    <x:row r="9" ht="48" customHeight="1">
      <x:c r="A9" t="str">
        <x:v>Los Angeles</x:v>
      </x:c>
      <x:c r="B9" t="str">
        <x:v>Community Action / Human Services</x:v>
      </x:c>
      <x:c r="C9" t="str">
        <x:v>Los Angeles Community Action / Human Services</x:v>
      </x:c>
      <x:c r="D9" t="str">
        <x:v>County-specific resource slot / local program lookup</x:v>
      </x:c>
      <x:c r="E9" t="str">
        <x:v>https://www.csd.ca.gov/Pages/FindServices.aspx</x:v>
      </x:c>
      <x:c r="F9" t="str">
        <x:v>Research / verify</x:v>
      </x:c>
      <x:c r="G9" t="str">
        <x:v>https://www.csd.ca.gov/Pages/FindServices.aspx</x:v>
      </x:c>
      <x:c r="H9" t="str">
        <x:v>Community action or human services agency for household stabilization, utilities, and possible rent support.</x:v>
      </x:c>
      <x:c r="I9" t="str">
        <x:v>Verify eligibility and county coverage</x:v>
      </x:c>
      <x:c r="J9" t="str">
        <x:v>https://www.csd.ca.gov/Pages/FindServices.aspx</x:v>
      </x:c>
      <x:c r="K9" t="str">
        <x:v>2026-07-09</x:v>
      </x:c>
      <x:c r="L9" t="str">
        <x:v>Medium</x:v>
      </x:c>
      <x:c r="M9" t="str">
        <x:v>community action,human services,liheap,rent,utilities</x:v>
      </x:c>
      <x:c r="N9" t="str">
        <x:v>Framework row. Verify the specific local office, phone, application page, and open/closed status before using in a customer report.</x:v>
      </x:c>
    </x:row>
    <x:row r="10" ht="48" customHeight="1">
      <x:c r="A10" t="str">
        <x:v>Los Angeles</x:v>
      </x:c>
      <x:c r="B10" t="str">
        <x:v>HUD-Approved Housing Counseling</x:v>
      </x:c>
      <x:c r="C10" t="str">
        <x:v>Los Angeles HUD-Approved Housing Counseling</x:v>
      </x:c>
      <x:c r="D10" t="str">
        <x:v>County-specific resource slot / local program lookup</x:v>
      </x:c>
      <x:c r="E10" t="str">
        <x:v>https://www.consumerfinance.gov/find-a-housing-counselor/</x:v>
      </x:c>
      <x:c r="F10" t="str">
        <x:v>Research / verify</x:v>
      </x:c>
      <x:c r="G10" t="str">
        <x:v>https://www.consumerfinance.gov/find-a-housing-counselor/</x:v>
      </x:c>
      <x:c r="H10" t="str">
        <x:v>HUD-approved counseling pathway for housing stability, budgeting, rental counseling or referrals.</x:v>
      </x:c>
      <x:c r="I10" t="str">
        <x:v>Use HUD/CFPB locator to verify provider</x:v>
      </x:c>
      <x:c r="J10" t="str">
        <x:v>https://www.consumerfinance.gov/find-a-housing-counselor/</x:v>
      </x:c>
      <x:c r="K10" t="str">
        <x:v>2026-07-09</x:v>
      </x:c>
      <x:c r="L10" t="str">
        <x:v>Medium</x:v>
      </x:c>
      <x:c r="M10" t="str">
        <x:v>housing counseling,hud,counselor,tenant support</x:v>
      </x:c>
      <x:c r="N10" t="str">
        <x:v>Framework row. Verify the specific local office, phone, application page, and open/closed status before using in a customer report.</x:v>
      </x:c>
    </x:row>
    <x:row r="11" ht="48" customHeight="1">
      <x:c r="A11" t="str">
        <x:v>Los Angeles</x:v>
      </x:c>
      <x:c r="B11" t="str">
        <x:v>Court Self-Help / Tenant Forms</x:v>
      </x:c>
      <x:c r="C11" t="str">
        <x:v>Los Angeles Court Self-Help / Tenant Forms</x:v>
      </x:c>
      <x:c r="D11" t="str">
        <x:v>County-specific resource slot / local program lookup</x:v>
      </x:c>
      <x:c r="E11" t="str">
        <x:v>https://selfhelp.courts.ca.gov/eviction-tenant</x:v>
      </x:c>
      <x:c r="F11" t="str">
        <x:v>Research / verify</x:v>
      </x:c>
      <x:c r="G11" t="str">
        <x:v>https://selfhelp.courts.ca.gov/eviction-tenant</x:v>
      </x:c>
      <x:c r="H11" t="str">
        <x:v>Court self-help, tenant forms, and procedural resources; not a substitute for legal advice.</x:v>
      </x:c>
      <x:c r="I11" t="str">
        <x:v>Verify county court instructions</x:v>
      </x:c>
      <x:c r="J11" t="str">
        <x:v>https://selfhelp.courts.ca.gov/eviction-tenant</x:v>
      </x:c>
      <x:c r="K11" t="str">
        <x:v>2026-07-09</x:v>
      </x:c>
      <x:c r="L11" t="str">
        <x:v>High</x:v>
      </x:c>
      <x:c r="M11" t="str">
        <x:v>court,self-help,forms,eviction,tenant response</x:v>
      </x:c>
      <x:c r="N11" t="str">
        <x:v>Framework row. Verify the specific local office, phone, application page, and open/closed status before using in a customer report.</x:v>
      </x:c>
    </x:row>
    <x:row r="12" ht="48" customHeight="1">
      <x:c r="A12" t="str">
        <x:v>San Diego</x:v>
      </x:c>
      <x:c r="B12" t="str">
        <x:v>County Housing Department</x:v>
      </x:c>
      <x:c r="C12" t="str">
        <x:v>San Diego County Housing Department</x:v>
      </x:c>
      <x:c r="D12" t="str">
        <x:v>County-specific resource slot / local program lookup</x:v>
      </x:c>
      <x:c r="E12" t="str">
        <x:v>https://www.hcd.ca.gov/</x:v>
      </x:c>
      <x:c r="F12" t="str">
        <x:v>Research / verify</x:v>
      </x:c>
      <x:c r="G12" t="str">
        <x:v>https://www.hcd.ca.gov/</x:v>
      </x:c>
      <x:c r="H12" t="str">
        <x:v>County housing/community development office; first stop for local program status.</x:v>
      </x:c>
      <x:c r="I12" t="str">
        <x:v>Verify local program status</x:v>
      </x:c>
      <x:c r="J12" t="str">
        <x:v>https://www.hcd.ca.gov/</x:v>
      </x:c>
      <x:c r="K12" t="str">
        <x:v>2026-07-09</x:v>
      </x:c>
      <x:c r="L12" t="str">
        <x:v>Core</x:v>
      </x:c>
      <x:c r="M12" t="str">
        <x:v>county,housing,program status</x:v>
      </x:c>
      <x:c r="N12" t="str">
        <x:v>Framework row. Verify the specific local office, phone, application page, and open/closed status before using in a customer report.</x:v>
      </x:c>
    </x:row>
    <x:row r="13" ht="48" customHeight="1">
      <x:c r="A13" t="str">
        <x:v>San Diego</x:v>
      </x:c>
      <x:c r="B13" t="str">
        <x:v>Local Housing Authority</x:v>
      </x:c>
      <x:c r="C13" t="str">
        <x:v>San Diego Local Housing Authority</x:v>
      </x:c>
      <x:c r="D13" t="str">
        <x:v>County-specific resource slot / local program lookup</x:v>
      </x:c>
      <x:c r="E13" t="str">
        <x:v>https://www.hud.gov/states/california/renting</x:v>
      </x:c>
      <x:c r="F13" t="str">
        <x:v>Research / verify</x:v>
      </x:c>
      <x:c r="G13" t="str">
        <x:v>https://www.hud.gov/states/california/renting</x:v>
      </x:c>
      <x:c r="H13" t="str">
        <x:v>Public housing/voucher agency or local housing authority resource; may not provide emergency rent grants.</x:v>
      </x:c>
      <x:c r="I13" t="str">
        <x:v>Verify service area and waitlist/intake status</x:v>
      </x:c>
      <x:c r="J13" t="str">
        <x:v>https://www.hud.gov/states/california/renting</x:v>
      </x:c>
      <x:c r="K13" t="str">
        <x:v>2026-07-09</x:v>
      </x:c>
      <x:c r="L13" t="str">
        <x:v>Core</x:v>
      </x:c>
      <x:c r="M13" t="str">
        <x:v>housing authority,subsidy,public housing,voucher</x:v>
      </x:c>
      <x:c r="N13" t="str">
        <x:v>Framework row. Verify the specific local office, phone, application page, and open/closed status before using in a customer report.</x:v>
      </x:c>
    </x:row>
    <x:row r="14" ht="48" customHeight="1">
      <x:c r="A14" t="str">
        <x:v>San Diego</x:v>
      </x:c>
      <x:c r="B14" t="str">
        <x:v>Emergency Rental / Housing Assistance</x:v>
      </x:c>
      <x:c r="C14" t="str">
        <x:v>San Diego Emergency Rental / Housing Assistance</x:v>
      </x:c>
      <x:c r="D14" t="str">
        <x:v>County-specific resource slot / local program lookup</x:v>
      </x:c>
      <x:c r="E14" t="str">
        <x:v>https://www.211ca.org/</x:v>
      </x:c>
      <x:c r="F14" t="str">
        <x:v>Research / verify</x:v>
      </x:c>
      <x:c r="G14" t="str">
        <x:v>https://www.211ca.org/</x:v>
      </x:c>
      <x:c r="H14" t="str">
        <x:v>Direct rent, deposit, relocation, homeless prevention, or housing stabilization resource where available; funding can open/close.</x:v>
      </x:c>
      <x:c r="I14" t="str">
        <x:v>Funding/appointments may open and close</x:v>
      </x:c>
      <x:c r="J14" t="str">
        <x:v>https://www.211ca.org/</x:v>
      </x:c>
      <x:c r="K14" t="str">
        <x:v>2026-07-09</x:v>
      </x:c>
      <x:c r="L14" t="str">
        <x:v>High</x:v>
      </x:c>
      <x:c r="M14" t="str">
        <x:v>rent,eviction,emergency,homeless prevention</x:v>
      </x:c>
      <x:c r="N14" t="str">
        <x:v>Framework row. Verify the specific local office, phone, application page, and open/closed status before using in a customer report.</x:v>
      </x:c>
    </x:row>
    <x:row r="15" ht="48" customHeight="1">
      <x:c r="A15" t="str">
        <x:v>San Diego</x:v>
      </x:c>
      <x:c r="B15" t="str">
        <x:v>Legal Aid / Eviction Defense</x:v>
      </x:c>
      <x:c r="C15" t="str">
        <x:v>San Diego Legal Aid / Eviction Defense</x:v>
      </x:c>
      <x:c r="D15" t="str">
        <x:v>County-specific resource slot / local program lookup</x:v>
      </x:c>
      <x:c r="E15" t="str">
        <x:v>https://www.lawhelpca.org/</x:v>
      </x:c>
      <x:c r="F15" t="str">
        <x:v>Research / verify</x:v>
      </x:c>
      <x:c r="G15" t="str">
        <x:v>https://www.lawhelpca.org/</x:v>
      </x:c>
      <x:c r="H15" t="str">
        <x:v>Free/low-cost tenant legal help or eviction resources for eligible tenants.</x:v>
      </x:c>
      <x:c r="I15" t="str">
        <x:v>Verify intake requirements</x:v>
      </x:c>
      <x:c r="J15" t="str">
        <x:v>https://www.lawhelpca.org/</x:v>
      </x:c>
      <x:c r="K15" t="str">
        <x:v>2026-07-09</x:v>
      </x:c>
      <x:c r="L15" t="str">
        <x:v>High</x:v>
      </x:c>
      <x:c r="M15" t="str">
        <x:v>legal aid,eviction,court,tenant rights</x:v>
      </x:c>
      <x:c r="N15" t="str">
        <x:v>Framework row. Verify the specific local office, phone, application page, and open/closed status before using in a customer report.</x:v>
      </x:c>
    </x:row>
    <x:row r="16" ht="48" customHeight="1">
      <x:c r="A16" t="str">
        <x:v>San Diego</x:v>
      </x:c>
      <x:c r="B16" t="str">
        <x:v>United Way / 211</x:v>
      </x:c>
      <x:c r="C16" t="str">
        <x:v>San Diego United Way / 211</x:v>
      </x:c>
      <x:c r="D16" t="str">
        <x:v>County-specific resource slot / local program lookup</x:v>
      </x:c>
      <x:c r="E16" t="str">
        <x:v>https://www.211ca.org/</x:v>
      </x:c>
      <x:c r="F16" t="str">
        <x:v>Research / verify</x:v>
      </x:c>
      <x:c r="G16" t="str">
        <x:v>https://www.211ca.org/</x:v>
      </x:c>
      <x:c r="H16" t="str">
        <x:v>Referral hub for rent, utilities, food, shelter and emergency resources.</x:v>
      </x:c>
      <x:c r="I16" t="str">
        <x:v>Verify local referral availability</x:v>
      </x:c>
      <x:c r="J16" t="str">
        <x:v>https://www.211ca.org/</x:v>
      </x:c>
      <x:c r="K16" t="str">
        <x:v>2026-07-09</x:v>
      </x:c>
      <x:c r="L16" t="str">
        <x:v>High</x:v>
      </x:c>
      <x:c r="M16" t="str">
        <x:v>211,referral,rent,utilities</x:v>
      </x:c>
      <x:c r="N16" t="str">
        <x:v>Framework row. Verify the specific local office, phone, application page, and open/closed status before using in a customer report.</x:v>
      </x:c>
    </x:row>
    <x:row r="17" ht="48" customHeight="1">
      <x:c r="A17" t="str">
        <x:v>San Diego</x:v>
      </x:c>
      <x:c r="B17" t="str">
        <x:v>Salvation Army</x:v>
      </x:c>
      <x:c r="C17" t="str">
        <x:v>San Diego Salvation Army</x:v>
      </x:c>
      <x:c r="D17" t="str">
        <x:v>County-specific resource slot / local program lookup</x:v>
      </x:c>
      <x:c r="E17" t="str">
        <x:v>https://westernusa.salvationarmy.org/</x:v>
      </x:c>
      <x:c r="F17" t="str">
        <x:v>Research / verify</x:v>
      </x:c>
      <x:c r="G17" t="str">
        <x:v>https://westernusa.salvationarmy.org/</x:v>
      </x:c>
      <x:c r="H17" t="str">
        <x:v>Faith-based emergency aid resource; assistance varies by branch, county and funding cycle.</x:v>
      </x:c>
      <x:c r="I17" t="str">
        <x:v>Funding/appointments may open and close</x:v>
      </x:c>
      <x:c r="J17" t="str">
        <x:v>https://westernusa.salvationarmy.org/</x:v>
      </x:c>
      <x:c r="K17" t="str">
        <x:v>2026-07-09</x:v>
      </x:c>
      <x:c r="L17" t="str">
        <x:v>Medium</x:v>
      </x:c>
      <x:c r="M17" t="str">
        <x:v>salvation army,rent,utilities,emergency aid</x:v>
      </x:c>
      <x:c r="N17" t="str">
        <x:v>Framework row. Verify the specific local office, phone, application page, and open/closed status before using in a customer report.</x:v>
      </x:c>
    </x:row>
    <x:row r="18" ht="48" customHeight="1">
      <x:c r="A18" t="str">
        <x:v>San Diego</x:v>
      </x:c>
      <x:c r="B18" t="str">
        <x:v>Catholic Charities / Faith-Based Emergency Aid</x:v>
      </x:c>
      <x:c r="C18" t="str">
        <x:v>San Diego Catholic Charities / Faith-Based Emergency Aid</x:v>
      </x:c>
      <x:c r="D18" t="str">
        <x:v>County-specific resource slot / local program lookup</x:v>
      </x:c>
      <x:c r="E18" t="str">
        <x:v>https://www.catholiccharitiesusa.org/find-help/</x:v>
      </x:c>
      <x:c r="F18" t="str">
        <x:v>Research / verify</x:v>
      </x:c>
      <x:c r="G18" t="str">
        <x:v>https://www.catholiccharitiesusa.org/find-help/</x:v>
      </x:c>
      <x:c r="H18" t="str">
        <x:v>Faith-based rent, utility, family support, immigrant/refugee or emergency services resource where available.</x:v>
      </x:c>
      <x:c r="I18" t="str">
        <x:v>Funding/appointments may open and close</x:v>
      </x:c>
      <x:c r="J18" t="str">
        <x:v>https://www.catholiccharitiesusa.org/find-help/</x:v>
      </x:c>
      <x:c r="K18" t="str">
        <x:v>2026-07-09</x:v>
      </x:c>
      <x:c r="L18" t="str">
        <x:v>Medium</x:v>
      </x:c>
      <x:c r="M18" t="str">
        <x:v>catholic charities,faith based,rent,utilities</x:v>
      </x:c>
      <x:c r="N18" t="str">
        <x:v>Framework row. Verify the specific local office, phone, application page, and open/closed status before using in a customer report.</x:v>
      </x:c>
    </x:row>
    <x:row r="19" ht="48" customHeight="1">
      <x:c r="A19" t="str">
        <x:v>San Diego</x:v>
      </x:c>
      <x:c r="B19" t="str">
        <x:v>Community Action / Human Services</x:v>
      </x:c>
      <x:c r="C19" t="str">
        <x:v>San Diego Community Action / Human Services</x:v>
      </x:c>
      <x:c r="D19" t="str">
        <x:v>County-specific resource slot / local program lookup</x:v>
      </x:c>
      <x:c r="E19" t="str">
        <x:v>https://www.csd.ca.gov/Pages/FindServices.aspx</x:v>
      </x:c>
      <x:c r="F19" t="str">
        <x:v>Research / verify</x:v>
      </x:c>
      <x:c r="G19" t="str">
        <x:v>https://www.csd.ca.gov/Pages/FindServices.aspx</x:v>
      </x:c>
      <x:c r="H19" t="str">
        <x:v>Community action or human services agency for household stabilization, utilities, and possible rent support.</x:v>
      </x:c>
      <x:c r="I19" t="str">
        <x:v>Verify eligibility and county coverage</x:v>
      </x:c>
      <x:c r="J19" t="str">
        <x:v>https://www.csd.ca.gov/Pages/FindServices.aspx</x:v>
      </x:c>
      <x:c r="K19" t="str">
        <x:v>2026-07-09</x:v>
      </x:c>
      <x:c r="L19" t="str">
        <x:v>Medium</x:v>
      </x:c>
      <x:c r="M19" t="str">
        <x:v>community action,human services,liheap,rent,utilities</x:v>
      </x:c>
      <x:c r="N19" t="str">
        <x:v>Framework row. Verify the specific local office, phone, application page, and open/closed status before using in a customer report.</x:v>
      </x:c>
    </x:row>
    <x:row r="20" ht="48" customHeight="1">
      <x:c r="A20" t="str">
        <x:v>San Diego</x:v>
      </x:c>
      <x:c r="B20" t="str">
        <x:v>HUD-Approved Housing Counseling</x:v>
      </x:c>
      <x:c r="C20" t="str">
        <x:v>San Diego HUD-Approved Housing Counseling</x:v>
      </x:c>
      <x:c r="D20" t="str">
        <x:v>County-specific resource slot / local program lookup</x:v>
      </x:c>
      <x:c r="E20" t="str">
        <x:v>https://www.consumerfinance.gov/find-a-housing-counselor/</x:v>
      </x:c>
      <x:c r="F20" t="str">
        <x:v>Research / verify</x:v>
      </x:c>
      <x:c r="G20" t="str">
        <x:v>https://www.consumerfinance.gov/find-a-housing-counselor/</x:v>
      </x:c>
      <x:c r="H20" t="str">
        <x:v>HUD-approved counseling pathway for housing stability, budgeting, rental counseling or referrals.</x:v>
      </x:c>
      <x:c r="I20" t="str">
        <x:v>Use HUD/CFPB locator to verify provider</x:v>
      </x:c>
      <x:c r="J20" t="str">
        <x:v>https://www.consumerfinance.gov/find-a-housing-counselor/</x:v>
      </x:c>
      <x:c r="K20" t="str">
        <x:v>2026-07-09</x:v>
      </x:c>
      <x:c r="L20" t="str">
        <x:v>Medium</x:v>
      </x:c>
      <x:c r="M20" t="str">
        <x:v>housing counseling,hud,counselor,tenant support</x:v>
      </x:c>
      <x:c r="N20" t="str">
        <x:v>Framework row. Verify the specific local office, phone, application page, and open/closed status before using in a customer report.</x:v>
      </x:c>
    </x:row>
    <x:row r="21" ht="48" customHeight="1">
      <x:c r="A21" t="str">
        <x:v>San Diego</x:v>
      </x:c>
      <x:c r="B21" t="str">
        <x:v>Court Self-Help / Tenant Forms</x:v>
      </x:c>
      <x:c r="C21" t="str">
        <x:v>San Diego Court Self-Help / Tenant Forms</x:v>
      </x:c>
      <x:c r="D21" t="str">
        <x:v>County-specific resource slot / local program lookup</x:v>
      </x:c>
      <x:c r="E21" t="str">
        <x:v>https://selfhelp.courts.ca.gov/eviction-tenant</x:v>
      </x:c>
      <x:c r="F21" t="str">
        <x:v>Research / verify</x:v>
      </x:c>
      <x:c r="G21" t="str">
        <x:v>https://selfhelp.courts.ca.gov/eviction-tenant</x:v>
      </x:c>
      <x:c r="H21" t="str">
        <x:v>Court self-help, tenant forms, and procedural resources; not a substitute for legal advice.</x:v>
      </x:c>
      <x:c r="I21" t="str">
        <x:v>Verify county court instructions</x:v>
      </x:c>
      <x:c r="J21" t="str">
        <x:v>https://selfhelp.courts.ca.gov/eviction-tenant</x:v>
      </x:c>
      <x:c r="K21" t="str">
        <x:v>2026-07-09</x:v>
      </x:c>
      <x:c r="L21" t="str">
        <x:v>High</x:v>
      </x:c>
      <x:c r="M21" t="str">
        <x:v>court,self-help,forms,eviction,tenant response</x:v>
      </x:c>
      <x:c r="N21" t="str">
        <x:v>Framework row. Verify the specific local office, phone, application page, and open/closed status before using in a customer report.</x:v>
      </x:c>
    </x:row>
    <x:row r="22" ht="48" customHeight="1">
      <x:c r="A22" t="str">
        <x:v>Orange</x:v>
      </x:c>
      <x:c r="B22" t="str">
        <x:v>County Housing Department</x:v>
      </x:c>
      <x:c r="C22" t="str">
        <x:v>Orange County Housing Department</x:v>
      </x:c>
      <x:c r="D22" t="str">
        <x:v>County-specific resource slot / local program lookup</x:v>
      </x:c>
      <x:c r="E22" t="str">
        <x:v>https://www.hcd.ca.gov/</x:v>
      </x:c>
      <x:c r="F22" t="str">
        <x:v>Research / verify</x:v>
      </x:c>
      <x:c r="G22" t="str">
        <x:v>https://www.hcd.ca.gov/</x:v>
      </x:c>
      <x:c r="H22" t="str">
        <x:v>County housing/community development office; first stop for local program status.</x:v>
      </x:c>
      <x:c r="I22" t="str">
        <x:v>Verify local program status</x:v>
      </x:c>
      <x:c r="J22" t="str">
        <x:v>https://www.hcd.ca.gov/</x:v>
      </x:c>
      <x:c r="K22" t="str">
        <x:v>2026-07-09</x:v>
      </x:c>
      <x:c r="L22" t="str">
        <x:v>Core</x:v>
      </x:c>
      <x:c r="M22" t="str">
        <x:v>county,housing,program status</x:v>
      </x:c>
      <x:c r="N22" t="str">
        <x:v>Framework row. Verify the specific local office, phone, application page, and open/closed status before using in a customer report.</x:v>
      </x:c>
    </x:row>
    <x:row r="23" ht="48" customHeight="1">
      <x:c r="A23" t="str">
        <x:v>Orange</x:v>
      </x:c>
      <x:c r="B23" t="str">
        <x:v>Local Housing Authority</x:v>
      </x:c>
      <x:c r="C23" t="str">
        <x:v>Orange Local Housing Authority</x:v>
      </x:c>
      <x:c r="D23" t="str">
        <x:v>County-specific resource slot / local program lookup</x:v>
      </x:c>
      <x:c r="E23" t="str">
        <x:v>https://www.hud.gov/states/california/renting</x:v>
      </x:c>
      <x:c r="F23" t="str">
        <x:v>Research / verify</x:v>
      </x:c>
      <x:c r="G23" t="str">
        <x:v>https://www.hud.gov/states/california/renting</x:v>
      </x:c>
      <x:c r="H23" t="str">
        <x:v>Public housing/voucher agency or local housing authority resource; may not provide emergency rent grants.</x:v>
      </x:c>
      <x:c r="I23" t="str">
        <x:v>Verify service area and waitlist/intake status</x:v>
      </x:c>
      <x:c r="J23" t="str">
        <x:v>https://www.hud.gov/states/california/renting</x:v>
      </x:c>
      <x:c r="K23" t="str">
        <x:v>2026-07-09</x:v>
      </x:c>
      <x:c r="L23" t="str">
        <x:v>Core</x:v>
      </x:c>
      <x:c r="M23" t="str">
        <x:v>housing authority,subsidy,public housing,voucher</x:v>
      </x:c>
      <x:c r="N23" t="str">
        <x:v>Framework row. Verify the specific local office, phone, application page, and open/closed status before using in a customer report.</x:v>
      </x:c>
    </x:row>
    <x:row r="24" ht="48" customHeight="1">
      <x:c r="A24" t="str">
        <x:v>Orange</x:v>
      </x:c>
      <x:c r="B24" t="str">
        <x:v>Emergency Rental / Housing Assistance</x:v>
      </x:c>
      <x:c r="C24" t="str">
        <x:v>Orange Emergency Rental / Housing Assistance</x:v>
      </x:c>
      <x:c r="D24" t="str">
        <x:v>County-specific resource slot / local program lookup</x:v>
      </x:c>
      <x:c r="E24" t="str">
        <x:v>https://www.211ca.org/</x:v>
      </x:c>
      <x:c r="F24" t="str">
        <x:v>Research / verify</x:v>
      </x:c>
      <x:c r="G24" t="str">
        <x:v>https://www.211ca.org/</x:v>
      </x:c>
      <x:c r="H24" t="str">
        <x:v>Direct rent, deposit, relocation, homeless prevention, or housing stabilization resource where available; funding can open/close.</x:v>
      </x:c>
      <x:c r="I24" t="str">
        <x:v>Funding/appointments may open and close</x:v>
      </x:c>
      <x:c r="J24" t="str">
        <x:v>https://www.211ca.org/</x:v>
      </x:c>
      <x:c r="K24" t="str">
        <x:v>2026-07-09</x:v>
      </x:c>
      <x:c r="L24" t="str">
        <x:v>High</x:v>
      </x:c>
      <x:c r="M24" t="str">
        <x:v>rent,eviction,emergency,homeless prevention</x:v>
      </x:c>
      <x:c r="N24" t="str">
        <x:v>Framework row. Verify the specific local office, phone, application page, and open/closed status before using in a customer report.</x:v>
      </x:c>
    </x:row>
    <x:row r="25" ht="48" customHeight="1">
      <x:c r="A25" t="str">
        <x:v>Orange</x:v>
      </x:c>
      <x:c r="B25" t="str">
        <x:v>Legal Aid / Eviction Defense</x:v>
      </x:c>
      <x:c r="C25" t="str">
        <x:v>Orange Legal Aid / Eviction Defense</x:v>
      </x:c>
      <x:c r="D25" t="str">
        <x:v>County-specific resource slot / local program lookup</x:v>
      </x:c>
      <x:c r="E25" t="str">
        <x:v>https://www.lawhelpca.org/</x:v>
      </x:c>
      <x:c r="F25" t="str">
        <x:v>Research / verify</x:v>
      </x:c>
      <x:c r="G25" t="str">
        <x:v>https://www.lawhelpca.org/</x:v>
      </x:c>
      <x:c r="H25" t="str">
        <x:v>Free/low-cost tenant legal help or eviction resources for eligible tenants.</x:v>
      </x:c>
      <x:c r="I25" t="str">
        <x:v>Verify intake requirements</x:v>
      </x:c>
      <x:c r="J25" t="str">
        <x:v>https://www.lawhelpca.org/</x:v>
      </x:c>
      <x:c r="K25" t="str">
        <x:v>2026-07-09</x:v>
      </x:c>
      <x:c r="L25" t="str">
        <x:v>High</x:v>
      </x:c>
      <x:c r="M25" t="str">
        <x:v>legal aid,eviction,court,tenant rights</x:v>
      </x:c>
      <x:c r="N25" t="str">
        <x:v>Framework row. Verify the specific local office, phone, application page, and open/closed status before using in a customer report.</x:v>
      </x:c>
    </x:row>
    <x:row r="26" ht="48" customHeight="1">
      <x:c r="A26" t="str">
        <x:v>Orange</x:v>
      </x:c>
      <x:c r="B26" t="str">
        <x:v>United Way / 211</x:v>
      </x:c>
      <x:c r="C26" t="str">
        <x:v>Orange United Way / 211</x:v>
      </x:c>
      <x:c r="D26" t="str">
        <x:v>County-specific resource slot / local program lookup</x:v>
      </x:c>
      <x:c r="E26" t="str">
        <x:v>https://www.211ca.org/</x:v>
      </x:c>
      <x:c r="F26" t="str">
        <x:v>Research / verify</x:v>
      </x:c>
      <x:c r="G26" t="str">
        <x:v>https://www.211ca.org/</x:v>
      </x:c>
      <x:c r="H26" t="str">
        <x:v>Referral hub for rent, utilities, food, shelter and emergency resources.</x:v>
      </x:c>
      <x:c r="I26" t="str">
        <x:v>Verify local referral availability</x:v>
      </x:c>
      <x:c r="J26" t="str">
        <x:v>https://www.211ca.org/</x:v>
      </x:c>
      <x:c r="K26" t="str">
        <x:v>2026-07-09</x:v>
      </x:c>
      <x:c r="L26" t="str">
        <x:v>High</x:v>
      </x:c>
      <x:c r="M26" t="str">
        <x:v>211,referral,rent,utilities</x:v>
      </x:c>
      <x:c r="N26" t="str">
        <x:v>Framework row. Verify the specific local office, phone, application page, and open/closed status before using in a customer report.</x:v>
      </x:c>
    </x:row>
    <x:row r="27" ht="48" customHeight="1">
      <x:c r="A27" t="str">
        <x:v>Orange</x:v>
      </x:c>
      <x:c r="B27" t="str">
        <x:v>Salvation Army</x:v>
      </x:c>
      <x:c r="C27" t="str">
        <x:v>Orange Salvation Army</x:v>
      </x:c>
      <x:c r="D27" t="str">
        <x:v>County-specific resource slot / local program lookup</x:v>
      </x:c>
      <x:c r="E27" t="str">
        <x:v>https://westernusa.salvationarmy.org/</x:v>
      </x:c>
      <x:c r="F27" t="str">
        <x:v>Research / verify</x:v>
      </x:c>
      <x:c r="G27" t="str">
        <x:v>https://westernusa.salvationarmy.org/</x:v>
      </x:c>
      <x:c r="H27" t="str">
        <x:v>Faith-based emergency aid resource; assistance varies by branch, county and funding cycle.</x:v>
      </x:c>
      <x:c r="I27" t="str">
        <x:v>Funding/appointments may open and close</x:v>
      </x:c>
      <x:c r="J27" t="str">
        <x:v>https://westernusa.salvationarmy.org/</x:v>
      </x:c>
      <x:c r="K27" t="str">
        <x:v>2026-07-09</x:v>
      </x:c>
      <x:c r="L27" t="str">
        <x:v>Medium</x:v>
      </x:c>
      <x:c r="M27" t="str">
        <x:v>salvation army,rent,utilities,emergency aid</x:v>
      </x:c>
      <x:c r="N27" t="str">
        <x:v>Framework row. Verify the specific local office, phone, application page, and open/closed status before using in a customer report.</x:v>
      </x:c>
    </x:row>
    <x:row r="28" ht="48" customHeight="1">
      <x:c r="A28" t="str">
        <x:v>Orange</x:v>
      </x:c>
      <x:c r="B28" t="str">
        <x:v>Catholic Charities / Faith-Based Emergency Aid</x:v>
      </x:c>
      <x:c r="C28" t="str">
        <x:v>Orange Catholic Charities / Faith-Based Emergency Aid</x:v>
      </x:c>
      <x:c r="D28" t="str">
        <x:v>County-specific resource slot / local program lookup</x:v>
      </x:c>
      <x:c r="E28" t="str">
        <x:v>https://www.catholiccharitiesusa.org/find-help/</x:v>
      </x:c>
      <x:c r="F28" t="str">
        <x:v>Research / verify</x:v>
      </x:c>
      <x:c r="G28" t="str">
        <x:v>https://www.catholiccharitiesusa.org/find-help/</x:v>
      </x:c>
      <x:c r="H28" t="str">
        <x:v>Faith-based rent, utility, family support, immigrant/refugee or emergency services resource where available.</x:v>
      </x:c>
      <x:c r="I28" t="str">
        <x:v>Funding/appointments may open and close</x:v>
      </x:c>
      <x:c r="J28" t="str">
        <x:v>https://www.catholiccharitiesusa.org/find-help/</x:v>
      </x:c>
      <x:c r="K28" t="str">
        <x:v>2026-07-09</x:v>
      </x:c>
      <x:c r="L28" t="str">
        <x:v>Medium</x:v>
      </x:c>
      <x:c r="M28" t="str">
        <x:v>catholic charities,faith based,rent,utilities</x:v>
      </x:c>
      <x:c r="N28" t="str">
        <x:v>Framework row. Verify the specific local office, phone, application page, and open/closed status before using in a customer report.</x:v>
      </x:c>
    </x:row>
    <x:row r="29" ht="48" customHeight="1">
      <x:c r="A29" t="str">
        <x:v>Orange</x:v>
      </x:c>
      <x:c r="B29" t="str">
        <x:v>Community Action / Human Services</x:v>
      </x:c>
      <x:c r="C29" t="str">
        <x:v>Orange Community Action / Human Services</x:v>
      </x:c>
      <x:c r="D29" t="str">
        <x:v>County-specific resource slot / local program lookup</x:v>
      </x:c>
      <x:c r="E29" t="str">
        <x:v>https://www.csd.ca.gov/Pages/FindServices.aspx</x:v>
      </x:c>
      <x:c r="F29" t="str">
        <x:v>Research / verify</x:v>
      </x:c>
      <x:c r="G29" t="str">
        <x:v>https://www.csd.ca.gov/Pages/FindServices.aspx</x:v>
      </x:c>
      <x:c r="H29" t="str">
        <x:v>Community action or human services agency for household stabilization, utilities, and possible rent support.</x:v>
      </x:c>
      <x:c r="I29" t="str">
        <x:v>Verify eligibility and county coverage</x:v>
      </x:c>
      <x:c r="J29" t="str">
        <x:v>https://www.csd.ca.gov/Pages/FindServices.aspx</x:v>
      </x:c>
      <x:c r="K29" t="str">
        <x:v>2026-07-09</x:v>
      </x:c>
      <x:c r="L29" t="str">
        <x:v>Medium</x:v>
      </x:c>
      <x:c r="M29" t="str">
        <x:v>community action,human services,liheap,rent,utilities</x:v>
      </x:c>
      <x:c r="N29" t="str">
        <x:v>Framework row. Verify the specific local office, phone, application page, and open/closed status before using in a customer report.</x:v>
      </x:c>
    </x:row>
    <x:row r="30" ht="48" customHeight="1">
      <x:c r="A30" t="str">
        <x:v>Orange</x:v>
      </x:c>
      <x:c r="B30" t="str">
        <x:v>HUD-Approved Housing Counseling</x:v>
      </x:c>
      <x:c r="C30" t="str">
        <x:v>Orange HUD-Approved Housing Counseling</x:v>
      </x:c>
      <x:c r="D30" t="str">
        <x:v>County-specific resource slot / local program lookup</x:v>
      </x:c>
      <x:c r="E30" t="str">
        <x:v>https://www.consumerfinance.gov/find-a-housing-counselor/</x:v>
      </x:c>
      <x:c r="F30" t="str">
        <x:v>Research / verify</x:v>
      </x:c>
      <x:c r="G30" t="str">
        <x:v>https://www.consumerfinance.gov/find-a-housing-counselor/</x:v>
      </x:c>
      <x:c r="H30" t="str">
        <x:v>HUD-approved counseling pathway for housing stability, budgeting, rental counseling or referrals.</x:v>
      </x:c>
      <x:c r="I30" t="str">
        <x:v>Use HUD/CFPB locator to verify provider</x:v>
      </x:c>
      <x:c r="J30" t="str">
        <x:v>https://www.consumerfinance.gov/find-a-housing-counselor/</x:v>
      </x:c>
      <x:c r="K30" t="str">
        <x:v>2026-07-09</x:v>
      </x:c>
      <x:c r="L30" t="str">
        <x:v>Medium</x:v>
      </x:c>
      <x:c r="M30" t="str">
        <x:v>housing counseling,hud,counselor,tenant support</x:v>
      </x:c>
      <x:c r="N30" t="str">
        <x:v>Framework row. Verify the specific local office, phone, application page, and open/closed status before using in a customer report.</x:v>
      </x:c>
    </x:row>
    <x:row r="31" ht="48" customHeight="1">
      <x:c r="A31" t="str">
        <x:v>Orange</x:v>
      </x:c>
      <x:c r="B31" t="str">
        <x:v>Court Self-Help / Tenant Forms</x:v>
      </x:c>
      <x:c r="C31" t="str">
        <x:v>Orange Court Self-Help / Tenant Forms</x:v>
      </x:c>
      <x:c r="D31" t="str">
        <x:v>County-specific resource slot / local program lookup</x:v>
      </x:c>
      <x:c r="E31" t="str">
        <x:v>https://selfhelp.courts.ca.gov/eviction-tenant</x:v>
      </x:c>
      <x:c r="F31" t="str">
        <x:v>Research / verify</x:v>
      </x:c>
      <x:c r="G31" t="str">
        <x:v>https://selfhelp.courts.ca.gov/eviction-tenant</x:v>
      </x:c>
      <x:c r="H31" t="str">
        <x:v>Court self-help, tenant forms, and procedural resources; not a substitute for legal advice.</x:v>
      </x:c>
      <x:c r="I31" t="str">
        <x:v>Verify county court instructions</x:v>
      </x:c>
      <x:c r="J31" t="str">
        <x:v>https://selfhelp.courts.ca.gov/eviction-tenant</x:v>
      </x:c>
      <x:c r="K31" t="str">
        <x:v>2026-07-09</x:v>
      </x:c>
      <x:c r="L31" t="str">
        <x:v>High</x:v>
      </x:c>
      <x:c r="M31" t="str">
        <x:v>court,self-help,forms,eviction,tenant response</x:v>
      </x:c>
      <x:c r="N31" t="str">
        <x:v>Framework row. Verify the specific local office, phone, application page, and open/closed status before using in a customer report.</x:v>
      </x:c>
    </x:row>
    <x:row r="32" ht="48" customHeight="1">
      <x:c r="A32" t="str">
        <x:v>Riverside</x:v>
      </x:c>
      <x:c r="B32" t="str">
        <x:v>County Housing Department</x:v>
      </x:c>
      <x:c r="C32" t="str">
        <x:v>Riverside County Housing Department</x:v>
      </x:c>
      <x:c r="D32" t="str">
        <x:v>County-specific resource slot / local program lookup</x:v>
      </x:c>
      <x:c r="E32" t="str">
        <x:v>https://www.hcd.ca.gov/</x:v>
      </x:c>
      <x:c r="F32" t="str">
        <x:v>Research / verify</x:v>
      </x:c>
      <x:c r="G32" t="str">
        <x:v>https://www.hcd.ca.gov/</x:v>
      </x:c>
      <x:c r="H32" t="str">
        <x:v>County housing/community development office; first stop for local program status.</x:v>
      </x:c>
      <x:c r="I32" t="str">
        <x:v>Verify local program status</x:v>
      </x:c>
      <x:c r="J32" t="str">
        <x:v>https://www.hcd.ca.gov/</x:v>
      </x:c>
      <x:c r="K32" t="str">
        <x:v>2026-07-09</x:v>
      </x:c>
      <x:c r="L32" t="str">
        <x:v>Core</x:v>
      </x:c>
      <x:c r="M32" t="str">
        <x:v>county,housing,program status</x:v>
      </x:c>
      <x:c r="N32" t="str">
        <x:v>Framework row. Verify the specific local office, phone, application page, and open/closed status before using in a customer report.</x:v>
      </x:c>
    </x:row>
    <x:row r="33" ht="48" customHeight="1">
      <x:c r="A33" t="str">
        <x:v>Riverside</x:v>
      </x:c>
      <x:c r="B33" t="str">
        <x:v>Local Housing Authority</x:v>
      </x:c>
      <x:c r="C33" t="str">
        <x:v>Riverside Local Housing Authority</x:v>
      </x:c>
      <x:c r="D33" t="str">
        <x:v>County-specific resource slot / local program lookup</x:v>
      </x:c>
      <x:c r="E33" t="str">
        <x:v>https://www.hud.gov/states/california/renting</x:v>
      </x:c>
      <x:c r="F33" t="str">
        <x:v>Research / verify</x:v>
      </x:c>
      <x:c r="G33" t="str">
        <x:v>https://www.hud.gov/states/california/renting</x:v>
      </x:c>
      <x:c r="H33" t="str">
        <x:v>Public housing/voucher agency or local housing authority resource; may not provide emergency rent grants.</x:v>
      </x:c>
      <x:c r="I33" t="str">
        <x:v>Verify service area and waitlist/intake status</x:v>
      </x:c>
      <x:c r="J33" t="str">
        <x:v>https://www.hud.gov/states/california/renting</x:v>
      </x:c>
      <x:c r="K33" t="str">
        <x:v>2026-07-09</x:v>
      </x:c>
      <x:c r="L33" t="str">
        <x:v>Core</x:v>
      </x:c>
      <x:c r="M33" t="str">
        <x:v>housing authority,subsidy,public housing,voucher</x:v>
      </x:c>
      <x:c r="N33" t="str">
        <x:v>Framework row. Verify the specific local office, phone, application page, and open/closed status before using in a customer report.</x:v>
      </x:c>
    </x:row>
    <x:row r="34" ht="48" customHeight="1">
      <x:c r="A34" t="str">
        <x:v>Riverside</x:v>
      </x:c>
      <x:c r="B34" t="str">
        <x:v>Emergency Rental / Housing Assistance</x:v>
      </x:c>
      <x:c r="C34" t="str">
        <x:v>Riverside Emergency Rental / Housing Assistance</x:v>
      </x:c>
      <x:c r="D34" t="str">
        <x:v>County-specific resource slot / local program lookup</x:v>
      </x:c>
      <x:c r="E34" t="str">
        <x:v>https://www.211ca.org/</x:v>
      </x:c>
      <x:c r="F34" t="str">
        <x:v>Research / verify</x:v>
      </x:c>
      <x:c r="G34" t="str">
        <x:v>https://www.211ca.org/</x:v>
      </x:c>
      <x:c r="H34" t="str">
        <x:v>Direct rent, deposit, relocation, homeless prevention, or housing stabilization resource where available; funding can open/close.</x:v>
      </x:c>
      <x:c r="I34" t="str">
        <x:v>Funding/appointments may open and close</x:v>
      </x:c>
      <x:c r="J34" t="str">
        <x:v>https://www.211ca.org/</x:v>
      </x:c>
      <x:c r="K34" t="str">
        <x:v>2026-07-09</x:v>
      </x:c>
      <x:c r="L34" t="str">
        <x:v>High</x:v>
      </x:c>
      <x:c r="M34" t="str">
        <x:v>rent,eviction,emergency,homeless prevention</x:v>
      </x:c>
      <x:c r="N34" t="str">
        <x:v>Framework row. Verify the specific local office, phone, application page, and open/closed status before using in a customer report.</x:v>
      </x:c>
    </x:row>
    <x:row r="35" ht="48" customHeight="1">
      <x:c r="A35" t="str">
        <x:v>Riverside</x:v>
      </x:c>
      <x:c r="B35" t="str">
        <x:v>Legal Aid / Eviction Defense</x:v>
      </x:c>
      <x:c r="C35" t="str">
        <x:v>Riverside Legal Aid / Eviction Defense</x:v>
      </x:c>
      <x:c r="D35" t="str">
        <x:v>County-specific resource slot / local program lookup</x:v>
      </x:c>
      <x:c r="E35" t="str">
        <x:v>https://www.lawhelpca.org/</x:v>
      </x:c>
      <x:c r="F35" t="str">
        <x:v>Research / verify</x:v>
      </x:c>
      <x:c r="G35" t="str">
        <x:v>https://www.lawhelpca.org/</x:v>
      </x:c>
      <x:c r="H35" t="str">
        <x:v>Free/low-cost tenant legal help or eviction resources for eligible tenants.</x:v>
      </x:c>
      <x:c r="I35" t="str">
        <x:v>Verify intake requirements</x:v>
      </x:c>
      <x:c r="J35" t="str">
        <x:v>https://www.lawhelpca.org/</x:v>
      </x:c>
      <x:c r="K35" t="str">
        <x:v>2026-07-09</x:v>
      </x:c>
      <x:c r="L35" t="str">
        <x:v>High</x:v>
      </x:c>
      <x:c r="M35" t="str">
        <x:v>legal aid,eviction,court,tenant rights</x:v>
      </x:c>
      <x:c r="N35" t="str">
        <x:v>Framework row. Verify the specific local office, phone, application page, and open/closed status before using in a customer report.</x:v>
      </x:c>
    </x:row>
    <x:row r="36" ht="48" customHeight="1">
      <x:c r="A36" t="str">
        <x:v>Riverside</x:v>
      </x:c>
      <x:c r="B36" t="str">
        <x:v>United Way / 211</x:v>
      </x:c>
      <x:c r="C36" t="str">
        <x:v>Riverside United Way / 211</x:v>
      </x:c>
      <x:c r="D36" t="str">
        <x:v>County-specific resource slot / local program lookup</x:v>
      </x:c>
      <x:c r="E36" t="str">
        <x:v>https://www.211ca.org/</x:v>
      </x:c>
      <x:c r="F36" t="str">
        <x:v>Research / verify</x:v>
      </x:c>
      <x:c r="G36" t="str">
        <x:v>https://www.211ca.org/</x:v>
      </x:c>
      <x:c r="H36" t="str">
        <x:v>Referral hub for rent, utilities, food, shelter and emergency resources.</x:v>
      </x:c>
      <x:c r="I36" t="str">
        <x:v>Verify local referral availability</x:v>
      </x:c>
      <x:c r="J36" t="str">
        <x:v>https://www.211ca.org/</x:v>
      </x:c>
      <x:c r="K36" t="str">
        <x:v>2026-07-09</x:v>
      </x:c>
      <x:c r="L36" t="str">
        <x:v>High</x:v>
      </x:c>
      <x:c r="M36" t="str">
        <x:v>211,referral,rent,utilities</x:v>
      </x:c>
      <x:c r="N36" t="str">
        <x:v>Framework row. Verify the specific local office, phone, application page, and open/closed status before using in a customer report.</x:v>
      </x:c>
    </x:row>
    <x:row r="37" ht="48" customHeight="1">
      <x:c r="A37" t="str">
        <x:v>Riverside</x:v>
      </x:c>
      <x:c r="B37" t="str">
        <x:v>Salvation Army</x:v>
      </x:c>
      <x:c r="C37" t="str">
        <x:v>Riverside Salvation Army</x:v>
      </x:c>
      <x:c r="D37" t="str">
        <x:v>County-specific resource slot / local program lookup</x:v>
      </x:c>
      <x:c r="E37" t="str">
        <x:v>https://westernusa.salvationarmy.org/</x:v>
      </x:c>
      <x:c r="F37" t="str">
        <x:v>Research / verify</x:v>
      </x:c>
      <x:c r="G37" t="str">
        <x:v>https://westernusa.salvationarmy.org/</x:v>
      </x:c>
      <x:c r="H37" t="str">
        <x:v>Faith-based emergency aid resource; assistance varies by branch, county and funding cycle.</x:v>
      </x:c>
      <x:c r="I37" t="str">
        <x:v>Funding/appointments may open and close</x:v>
      </x:c>
      <x:c r="J37" t="str">
        <x:v>https://westernusa.salvationarmy.org/</x:v>
      </x:c>
      <x:c r="K37" t="str">
        <x:v>2026-07-09</x:v>
      </x:c>
      <x:c r="L37" t="str">
        <x:v>Medium</x:v>
      </x:c>
      <x:c r="M37" t="str">
        <x:v>salvation army,rent,utilities,emergency aid</x:v>
      </x:c>
      <x:c r="N37" t="str">
        <x:v>Framework row. Verify the specific local office, phone, application page, and open/closed status before using in a customer report.</x:v>
      </x:c>
    </x:row>
    <x:row r="38" ht="48" customHeight="1">
      <x:c r="A38" t="str">
        <x:v>Riverside</x:v>
      </x:c>
      <x:c r="B38" t="str">
        <x:v>Catholic Charities / Faith-Based Emergency Aid</x:v>
      </x:c>
      <x:c r="C38" t="str">
        <x:v>Riverside Catholic Charities / Faith-Based Emergency Aid</x:v>
      </x:c>
      <x:c r="D38" t="str">
        <x:v>County-specific resource slot / local program lookup</x:v>
      </x:c>
      <x:c r="E38" t="str">
        <x:v>https://www.catholiccharitiesusa.org/find-help/</x:v>
      </x:c>
      <x:c r="F38" t="str">
        <x:v>Research / verify</x:v>
      </x:c>
      <x:c r="G38" t="str">
        <x:v>https://www.catholiccharitiesusa.org/find-help/</x:v>
      </x:c>
      <x:c r="H38" t="str">
        <x:v>Faith-based rent, utility, family support, immigrant/refugee or emergency services resource where available.</x:v>
      </x:c>
      <x:c r="I38" t="str">
        <x:v>Funding/appointments may open and close</x:v>
      </x:c>
      <x:c r="J38" t="str">
        <x:v>https://www.catholiccharitiesusa.org/find-help/</x:v>
      </x:c>
      <x:c r="K38" t="str">
        <x:v>2026-07-09</x:v>
      </x:c>
      <x:c r="L38" t="str">
        <x:v>Medium</x:v>
      </x:c>
      <x:c r="M38" t="str">
        <x:v>catholic charities,faith based,rent,utilities</x:v>
      </x:c>
      <x:c r="N38" t="str">
        <x:v>Framework row. Verify the specific local office, phone, application page, and open/closed status before using in a customer report.</x:v>
      </x:c>
    </x:row>
    <x:row r="39" ht="48" customHeight="1">
      <x:c r="A39" t="str">
        <x:v>Riverside</x:v>
      </x:c>
      <x:c r="B39" t="str">
        <x:v>Community Action / Human Services</x:v>
      </x:c>
      <x:c r="C39" t="str">
        <x:v>Riverside Community Action / Human Services</x:v>
      </x:c>
      <x:c r="D39" t="str">
        <x:v>County-specific resource slot / local program lookup</x:v>
      </x:c>
      <x:c r="E39" t="str">
        <x:v>https://www.csd.ca.gov/Pages/FindServices.aspx</x:v>
      </x:c>
      <x:c r="F39" t="str">
        <x:v>Research / verify</x:v>
      </x:c>
      <x:c r="G39" t="str">
        <x:v>https://www.csd.ca.gov/Pages/FindServices.aspx</x:v>
      </x:c>
      <x:c r="H39" t="str">
        <x:v>Community action or human services agency for household stabilization, utilities, and possible rent support.</x:v>
      </x:c>
      <x:c r="I39" t="str">
        <x:v>Verify eligibility and county coverage</x:v>
      </x:c>
      <x:c r="J39" t="str">
        <x:v>https://www.csd.ca.gov/Pages/FindServices.aspx</x:v>
      </x:c>
      <x:c r="K39" t="str">
        <x:v>2026-07-09</x:v>
      </x:c>
      <x:c r="L39" t="str">
        <x:v>Medium</x:v>
      </x:c>
      <x:c r="M39" t="str">
        <x:v>community action,human services,liheap,rent,utilities</x:v>
      </x:c>
      <x:c r="N39" t="str">
        <x:v>Framework row. Verify the specific local office, phone, application page, and open/closed status before using in a customer report.</x:v>
      </x:c>
    </x:row>
    <x:row r="40" ht="48" customHeight="1">
      <x:c r="A40" t="str">
        <x:v>Riverside</x:v>
      </x:c>
      <x:c r="B40" t="str">
        <x:v>HUD-Approved Housing Counseling</x:v>
      </x:c>
      <x:c r="C40" t="str">
        <x:v>Riverside HUD-Approved Housing Counseling</x:v>
      </x:c>
      <x:c r="D40" t="str">
        <x:v>County-specific resource slot / local program lookup</x:v>
      </x:c>
      <x:c r="E40" t="str">
        <x:v>https://www.consumerfinance.gov/find-a-housing-counselor/</x:v>
      </x:c>
      <x:c r="F40" t="str">
        <x:v>Research / verify</x:v>
      </x:c>
      <x:c r="G40" t="str">
        <x:v>https://www.consumerfinance.gov/find-a-housing-counselor/</x:v>
      </x:c>
      <x:c r="H40" t="str">
        <x:v>HUD-approved counseling pathway for housing stability, budgeting, rental counseling or referrals.</x:v>
      </x:c>
      <x:c r="I40" t="str">
        <x:v>Use HUD/CFPB locator to verify provider</x:v>
      </x:c>
      <x:c r="J40" t="str">
        <x:v>https://www.consumerfinance.gov/find-a-housing-counselor/</x:v>
      </x:c>
      <x:c r="K40" t="str">
        <x:v>2026-07-09</x:v>
      </x:c>
      <x:c r="L40" t="str">
        <x:v>Medium</x:v>
      </x:c>
      <x:c r="M40" t="str">
        <x:v>housing counseling,hud,counselor,tenant support</x:v>
      </x:c>
      <x:c r="N40" t="str">
        <x:v>Framework row. Verify the specific local office, phone, application page, and open/closed status before using in a customer report.</x:v>
      </x:c>
    </x:row>
    <x:row r="41" ht="48" customHeight="1">
      <x:c r="A41" t="str">
        <x:v>Riverside</x:v>
      </x:c>
      <x:c r="B41" t="str">
        <x:v>Court Self-Help / Tenant Forms</x:v>
      </x:c>
      <x:c r="C41" t="str">
        <x:v>Riverside Court Self-Help / Tenant Forms</x:v>
      </x:c>
      <x:c r="D41" t="str">
        <x:v>County-specific resource slot / local program lookup</x:v>
      </x:c>
      <x:c r="E41" t="str">
        <x:v>https://selfhelp.courts.ca.gov/eviction-tenant</x:v>
      </x:c>
      <x:c r="F41" t="str">
        <x:v>Research / verify</x:v>
      </x:c>
      <x:c r="G41" t="str">
        <x:v>https://selfhelp.courts.ca.gov/eviction-tenant</x:v>
      </x:c>
      <x:c r="H41" t="str">
        <x:v>Court self-help, tenant forms, and procedural resources; not a substitute for legal advice.</x:v>
      </x:c>
      <x:c r="I41" t="str">
        <x:v>Verify county court instructions</x:v>
      </x:c>
      <x:c r="J41" t="str">
        <x:v>https://selfhelp.courts.ca.gov/eviction-tenant</x:v>
      </x:c>
      <x:c r="K41" t="str">
        <x:v>2026-07-09</x:v>
      </x:c>
      <x:c r="L41" t="str">
        <x:v>High</x:v>
      </x:c>
      <x:c r="M41" t="str">
        <x:v>court,self-help,forms,eviction,tenant response</x:v>
      </x:c>
      <x:c r="N41" t="str">
        <x:v>Framework row. Verify the specific local office, phone, application page, and open/closed status before using in a customer report.</x:v>
      </x:c>
    </x:row>
    <x:row r="42" ht="48" customHeight="1">
      <x:c r="A42" t="str">
        <x:v>San Bernardino</x:v>
      </x:c>
      <x:c r="B42" t="str">
        <x:v>County Housing Department</x:v>
      </x:c>
      <x:c r="C42" t="str">
        <x:v>San Bernardino County Housing Department</x:v>
      </x:c>
      <x:c r="D42" t="str">
        <x:v>County-specific resource slot / local program lookup</x:v>
      </x:c>
      <x:c r="E42" t="str">
        <x:v>https://www.hcd.ca.gov/</x:v>
      </x:c>
      <x:c r="F42" t="str">
        <x:v>Research / verify</x:v>
      </x:c>
      <x:c r="G42" t="str">
        <x:v>https://www.hcd.ca.gov/</x:v>
      </x:c>
      <x:c r="H42" t="str">
        <x:v>County housing/community development office; first stop for local program status.</x:v>
      </x:c>
      <x:c r="I42" t="str">
        <x:v>Verify local program status</x:v>
      </x:c>
      <x:c r="J42" t="str">
        <x:v>https://www.hcd.ca.gov/</x:v>
      </x:c>
      <x:c r="K42" t="str">
        <x:v>2026-07-09</x:v>
      </x:c>
      <x:c r="L42" t="str">
        <x:v>Core</x:v>
      </x:c>
      <x:c r="M42" t="str">
        <x:v>county,housing,program status</x:v>
      </x:c>
      <x:c r="N42" t="str">
        <x:v>Framework row. Verify the specific local office, phone, application page, and open/closed status before using in a customer report.</x:v>
      </x:c>
    </x:row>
    <x:row r="43" ht="48" customHeight="1">
      <x:c r="A43" t="str">
        <x:v>San Bernardino</x:v>
      </x:c>
      <x:c r="B43" t="str">
        <x:v>Local Housing Authority</x:v>
      </x:c>
      <x:c r="C43" t="str">
        <x:v>San Bernardino Local Housing Authority</x:v>
      </x:c>
      <x:c r="D43" t="str">
        <x:v>County-specific resource slot / local program lookup</x:v>
      </x:c>
      <x:c r="E43" t="str">
        <x:v>https://www.hud.gov/states/california/renting</x:v>
      </x:c>
      <x:c r="F43" t="str">
        <x:v>Research / verify</x:v>
      </x:c>
      <x:c r="G43" t="str">
        <x:v>https://www.hud.gov/states/california/renting</x:v>
      </x:c>
      <x:c r="H43" t="str">
        <x:v>Public housing/voucher agency or local housing authority resource; may not provide emergency rent grants.</x:v>
      </x:c>
      <x:c r="I43" t="str">
        <x:v>Verify service area and waitlist/intake status</x:v>
      </x:c>
      <x:c r="J43" t="str">
        <x:v>https://www.hud.gov/states/california/renting</x:v>
      </x:c>
      <x:c r="K43" t="str">
        <x:v>2026-07-09</x:v>
      </x:c>
      <x:c r="L43" t="str">
        <x:v>Core</x:v>
      </x:c>
      <x:c r="M43" t="str">
        <x:v>housing authority,subsidy,public housing,voucher</x:v>
      </x:c>
      <x:c r="N43" t="str">
        <x:v>Framework row. Verify the specific local office, phone, application page, and open/closed status before using in a customer report.</x:v>
      </x:c>
    </x:row>
    <x:row r="44" ht="48" customHeight="1">
      <x:c r="A44" t="str">
        <x:v>San Bernardino</x:v>
      </x:c>
      <x:c r="B44" t="str">
        <x:v>Emergency Rental / Housing Assistance</x:v>
      </x:c>
      <x:c r="C44" t="str">
        <x:v>San Bernardino Emergency Rental / Housing Assistance</x:v>
      </x:c>
      <x:c r="D44" t="str">
        <x:v>County-specific resource slot / local program lookup</x:v>
      </x:c>
      <x:c r="E44" t="str">
        <x:v>https://www.211ca.org/</x:v>
      </x:c>
      <x:c r="F44" t="str">
        <x:v>Research / verify</x:v>
      </x:c>
      <x:c r="G44" t="str">
        <x:v>https://www.211ca.org/</x:v>
      </x:c>
      <x:c r="H44" t="str">
        <x:v>Direct rent, deposit, relocation, homeless prevention, or housing stabilization resource where available; funding can open/close.</x:v>
      </x:c>
      <x:c r="I44" t="str">
        <x:v>Funding/appointments may open and close</x:v>
      </x:c>
      <x:c r="J44" t="str">
        <x:v>https://www.211ca.org/</x:v>
      </x:c>
      <x:c r="K44" t="str">
        <x:v>2026-07-09</x:v>
      </x:c>
      <x:c r="L44" t="str">
        <x:v>High</x:v>
      </x:c>
      <x:c r="M44" t="str">
        <x:v>rent,eviction,emergency,homeless prevention</x:v>
      </x:c>
      <x:c r="N44" t="str">
        <x:v>Framework row. Verify the specific local office, phone, application page, and open/closed status before using in a customer report.</x:v>
      </x:c>
    </x:row>
    <x:row r="45" ht="48" customHeight="1">
      <x:c r="A45" t="str">
        <x:v>San Bernardino</x:v>
      </x:c>
      <x:c r="B45" t="str">
        <x:v>Legal Aid / Eviction Defense</x:v>
      </x:c>
      <x:c r="C45" t="str">
        <x:v>San Bernardino Legal Aid / Eviction Defense</x:v>
      </x:c>
      <x:c r="D45" t="str">
        <x:v>County-specific resource slot / local program lookup</x:v>
      </x:c>
      <x:c r="E45" t="str">
        <x:v>https://www.lawhelpca.org/</x:v>
      </x:c>
      <x:c r="F45" t="str">
        <x:v>Research / verify</x:v>
      </x:c>
      <x:c r="G45" t="str">
        <x:v>https://www.lawhelpca.org/</x:v>
      </x:c>
      <x:c r="H45" t="str">
        <x:v>Free/low-cost tenant legal help or eviction resources for eligible tenants.</x:v>
      </x:c>
      <x:c r="I45" t="str">
        <x:v>Verify intake requirements</x:v>
      </x:c>
      <x:c r="J45" t="str">
        <x:v>https://www.lawhelpca.org/</x:v>
      </x:c>
      <x:c r="K45" t="str">
        <x:v>2026-07-09</x:v>
      </x:c>
      <x:c r="L45" t="str">
        <x:v>High</x:v>
      </x:c>
      <x:c r="M45" t="str">
        <x:v>legal aid,eviction,court,tenant rights</x:v>
      </x:c>
      <x:c r="N45" t="str">
        <x:v>Framework row. Verify the specific local office, phone, application page, and open/closed status before using in a customer report.</x:v>
      </x:c>
    </x:row>
    <x:row r="46" ht="48" customHeight="1">
      <x:c r="A46" t="str">
        <x:v>San Bernardino</x:v>
      </x:c>
      <x:c r="B46" t="str">
        <x:v>United Way / 211</x:v>
      </x:c>
      <x:c r="C46" t="str">
        <x:v>San Bernardino United Way / 211</x:v>
      </x:c>
      <x:c r="D46" t="str">
        <x:v>County-specific resource slot / local program lookup</x:v>
      </x:c>
      <x:c r="E46" t="str">
        <x:v>https://www.211ca.org/</x:v>
      </x:c>
      <x:c r="F46" t="str">
        <x:v>Research / verify</x:v>
      </x:c>
      <x:c r="G46" t="str">
        <x:v>https://www.211ca.org/</x:v>
      </x:c>
      <x:c r="H46" t="str">
        <x:v>Referral hub for rent, utilities, food, shelter and emergency resources.</x:v>
      </x:c>
      <x:c r="I46" t="str">
        <x:v>Verify local referral availability</x:v>
      </x:c>
      <x:c r="J46" t="str">
        <x:v>https://www.211ca.org/</x:v>
      </x:c>
      <x:c r="K46" t="str">
        <x:v>2026-07-09</x:v>
      </x:c>
      <x:c r="L46" t="str">
        <x:v>High</x:v>
      </x:c>
      <x:c r="M46" t="str">
        <x:v>211,referral,rent,utilities</x:v>
      </x:c>
      <x:c r="N46" t="str">
        <x:v>Framework row. Verify the specific local office, phone, application page, and open/closed status before using in a customer report.</x:v>
      </x:c>
    </x:row>
    <x:row r="47" ht="48" customHeight="1">
      <x:c r="A47" t="str">
        <x:v>San Bernardino</x:v>
      </x:c>
      <x:c r="B47" t="str">
        <x:v>Salvation Army</x:v>
      </x:c>
      <x:c r="C47" t="str">
        <x:v>San Bernardino Salvation Army</x:v>
      </x:c>
      <x:c r="D47" t="str">
        <x:v>County-specific resource slot / local program lookup</x:v>
      </x:c>
      <x:c r="E47" t="str">
        <x:v>https://westernusa.salvationarmy.org/</x:v>
      </x:c>
      <x:c r="F47" t="str">
        <x:v>Research / verify</x:v>
      </x:c>
      <x:c r="G47" t="str">
        <x:v>https://westernusa.salvationarmy.org/</x:v>
      </x:c>
      <x:c r="H47" t="str">
        <x:v>Faith-based emergency aid resource; assistance varies by branch, county and funding cycle.</x:v>
      </x:c>
      <x:c r="I47" t="str">
        <x:v>Funding/appointments may open and close</x:v>
      </x:c>
      <x:c r="J47" t="str">
        <x:v>https://westernusa.salvationarmy.org/</x:v>
      </x:c>
      <x:c r="K47" t="str">
        <x:v>2026-07-09</x:v>
      </x:c>
      <x:c r="L47" t="str">
        <x:v>Medium</x:v>
      </x:c>
      <x:c r="M47" t="str">
        <x:v>salvation army,rent,utilities,emergency aid</x:v>
      </x:c>
      <x:c r="N47" t="str">
        <x:v>Framework row. Verify the specific local office, phone, application page, and open/closed status before using in a customer report.</x:v>
      </x:c>
    </x:row>
    <x:row r="48" ht="48" customHeight="1">
      <x:c r="A48" t="str">
        <x:v>San Bernardino</x:v>
      </x:c>
      <x:c r="B48" t="str">
        <x:v>Catholic Charities / Faith-Based Emergency Aid</x:v>
      </x:c>
      <x:c r="C48" t="str">
        <x:v>San Bernardino Catholic Charities / Faith-Based Emergency Aid</x:v>
      </x:c>
      <x:c r="D48" t="str">
        <x:v>County-specific resource slot / local program lookup</x:v>
      </x:c>
      <x:c r="E48" t="str">
        <x:v>https://www.catholiccharitiesusa.org/find-help/</x:v>
      </x:c>
      <x:c r="F48" t="str">
        <x:v>Research / verify</x:v>
      </x:c>
      <x:c r="G48" t="str">
        <x:v>https://www.catholiccharitiesusa.org/find-help/</x:v>
      </x:c>
      <x:c r="H48" t="str">
        <x:v>Faith-based rent, utility, family support, immigrant/refugee or emergency services resource where available.</x:v>
      </x:c>
      <x:c r="I48" t="str">
        <x:v>Funding/appointments may open and close</x:v>
      </x:c>
      <x:c r="J48" t="str">
        <x:v>https://www.catholiccharitiesusa.org/find-help/</x:v>
      </x:c>
      <x:c r="K48" t="str">
        <x:v>2026-07-09</x:v>
      </x:c>
      <x:c r="L48" t="str">
        <x:v>Medium</x:v>
      </x:c>
      <x:c r="M48" t="str">
        <x:v>catholic charities,faith based,rent,utilities</x:v>
      </x:c>
      <x:c r="N48" t="str">
        <x:v>Framework row. Verify the specific local office, phone, application page, and open/closed status before using in a customer report.</x:v>
      </x:c>
    </x:row>
    <x:row r="49" ht="48" customHeight="1">
      <x:c r="A49" t="str">
        <x:v>San Bernardino</x:v>
      </x:c>
      <x:c r="B49" t="str">
        <x:v>Community Action / Human Services</x:v>
      </x:c>
      <x:c r="C49" t="str">
        <x:v>San Bernardino Community Action / Human Services</x:v>
      </x:c>
      <x:c r="D49" t="str">
        <x:v>County-specific resource slot / local program lookup</x:v>
      </x:c>
      <x:c r="E49" t="str">
        <x:v>https://www.csd.ca.gov/Pages/FindServices.aspx</x:v>
      </x:c>
      <x:c r="F49" t="str">
        <x:v>Research / verify</x:v>
      </x:c>
      <x:c r="G49" t="str">
        <x:v>https://www.csd.ca.gov/Pages/FindServices.aspx</x:v>
      </x:c>
      <x:c r="H49" t="str">
        <x:v>Community action or human services agency for household stabilization, utilities, and possible rent support.</x:v>
      </x:c>
      <x:c r="I49" t="str">
        <x:v>Verify eligibility and county coverage</x:v>
      </x:c>
      <x:c r="J49" t="str">
        <x:v>https://www.csd.ca.gov/Pages/FindServices.aspx</x:v>
      </x:c>
      <x:c r="K49" t="str">
        <x:v>2026-07-09</x:v>
      </x:c>
      <x:c r="L49" t="str">
        <x:v>Medium</x:v>
      </x:c>
      <x:c r="M49" t="str">
        <x:v>community action,human services,liheap,rent,utilities</x:v>
      </x:c>
      <x:c r="N49" t="str">
        <x:v>Framework row. Verify the specific local office, phone, application page, and open/closed status before using in a customer report.</x:v>
      </x:c>
    </x:row>
    <x:row r="50" ht="48" customHeight="1">
      <x:c r="A50" t="str">
        <x:v>San Bernardino</x:v>
      </x:c>
      <x:c r="B50" t="str">
        <x:v>HUD-Approved Housing Counseling</x:v>
      </x:c>
      <x:c r="C50" t="str">
        <x:v>San Bernardino HUD-Approved Housing Counseling</x:v>
      </x:c>
      <x:c r="D50" t="str">
        <x:v>County-specific resource slot / local program lookup</x:v>
      </x:c>
      <x:c r="E50" t="str">
        <x:v>https://www.consumerfinance.gov/find-a-housing-counselor/</x:v>
      </x:c>
      <x:c r="F50" t="str">
        <x:v>Research / verify</x:v>
      </x:c>
      <x:c r="G50" t="str">
        <x:v>https://www.consumerfinance.gov/find-a-housing-counselor/</x:v>
      </x:c>
      <x:c r="H50" t="str">
        <x:v>HUD-approved counseling pathway for housing stability, budgeting, rental counseling or referrals.</x:v>
      </x:c>
      <x:c r="I50" t="str">
        <x:v>Use HUD/CFPB locator to verify provider</x:v>
      </x:c>
      <x:c r="J50" t="str">
        <x:v>https://www.consumerfinance.gov/find-a-housing-counselor/</x:v>
      </x:c>
      <x:c r="K50" t="str">
        <x:v>2026-07-09</x:v>
      </x:c>
      <x:c r="L50" t="str">
        <x:v>Medium</x:v>
      </x:c>
      <x:c r="M50" t="str">
        <x:v>housing counseling,hud,counselor,tenant support</x:v>
      </x:c>
      <x:c r="N50" t="str">
        <x:v>Framework row. Verify the specific local office, phone, application page, and open/closed status before using in a customer report.</x:v>
      </x:c>
    </x:row>
    <x:row r="51" ht="48" customHeight="1">
      <x:c r="A51" t="str">
        <x:v>San Bernardino</x:v>
      </x:c>
      <x:c r="B51" t="str">
        <x:v>Court Self-Help / Tenant Forms</x:v>
      </x:c>
      <x:c r="C51" t="str">
        <x:v>San Bernardino Court Self-Help / Tenant Forms</x:v>
      </x:c>
      <x:c r="D51" t="str">
        <x:v>County-specific resource slot / local program lookup</x:v>
      </x:c>
      <x:c r="E51" t="str">
        <x:v>https://selfhelp.courts.ca.gov/eviction-tenant</x:v>
      </x:c>
      <x:c r="F51" t="str">
        <x:v>Research / verify</x:v>
      </x:c>
      <x:c r="G51" t="str">
        <x:v>https://selfhelp.courts.ca.gov/eviction-tenant</x:v>
      </x:c>
      <x:c r="H51" t="str">
        <x:v>Court self-help, tenant forms, and procedural resources; not a substitute for legal advice.</x:v>
      </x:c>
      <x:c r="I51" t="str">
        <x:v>Verify county court instructions</x:v>
      </x:c>
      <x:c r="J51" t="str">
        <x:v>https://selfhelp.courts.ca.gov/eviction-tenant</x:v>
      </x:c>
      <x:c r="K51" t="str">
        <x:v>2026-07-09</x:v>
      </x:c>
      <x:c r="L51" t="str">
        <x:v>High</x:v>
      </x:c>
      <x:c r="M51" t="str">
        <x:v>court,self-help,forms,eviction,tenant response</x:v>
      </x:c>
      <x:c r="N51" t="str">
        <x:v>Framework row. Verify the specific local office, phone, application page, and open/closed status before using in a customer report.</x:v>
      </x:c>
    </x:row>
    <x:row r="52" ht="48" customHeight="1">
      <x:c r="A52" t="str">
        <x:v>Santa Clara</x:v>
      </x:c>
      <x:c r="B52" t="str">
        <x:v>County Housing Department</x:v>
      </x:c>
      <x:c r="C52" t="str">
        <x:v>Santa Clara County Housing Department</x:v>
      </x:c>
      <x:c r="D52" t="str">
        <x:v>County-specific resource slot / local program lookup</x:v>
      </x:c>
      <x:c r="E52" t="str">
        <x:v>https://www.hcd.ca.gov/</x:v>
      </x:c>
      <x:c r="F52" t="str">
        <x:v>Research / verify</x:v>
      </x:c>
      <x:c r="G52" t="str">
        <x:v>https://www.hcd.ca.gov/</x:v>
      </x:c>
      <x:c r="H52" t="str">
        <x:v>County housing/community development office; first stop for local program status.</x:v>
      </x:c>
      <x:c r="I52" t="str">
        <x:v>Verify local program status</x:v>
      </x:c>
      <x:c r="J52" t="str">
        <x:v>https://www.hcd.ca.gov/</x:v>
      </x:c>
      <x:c r="K52" t="str">
        <x:v>2026-07-09</x:v>
      </x:c>
      <x:c r="L52" t="str">
        <x:v>Core</x:v>
      </x:c>
      <x:c r="M52" t="str">
        <x:v>county,housing,program status</x:v>
      </x:c>
      <x:c r="N52" t="str">
        <x:v>Framework row. Verify the specific local office, phone, application page, and open/closed status before using in a customer report.</x:v>
      </x:c>
    </x:row>
    <x:row r="53" ht="48" customHeight="1">
      <x:c r="A53" t="str">
        <x:v>Santa Clara</x:v>
      </x:c>
      <x:c r="B53" t="str">
        <x:v>Local Housing Authority</x:v>
      </x:c>
      <x:c r="C53" t="str">
        <x:v>Santa Clara Local Housing Authority</x:v>
      </x:c>
      <x:c r="D53" t="str">
        <x:v>County-specific resource slot / local program lookup</x:v>
      </x:c>
      <x:c r="E53" t="str">
        <x:v>https://www.hud.gov/states/california/renting</x:v>
      </x:c>
      <x:c r="F53" t="str">
        <x:v>Research / verify</x:v>
      </x:c>
      <x:c r="G53" t="str">
        <x:v>https://www.hud.gov/states/california/renting</x:v>
      </x:c>
      <x:c r="H53" t="str">
        <x:v>Public housing/voucher agency or local housing authority resource; may not provide emergency rent grants.</x:v>
      </x:c>
      <x:c r="I53" t="str">
        <x:v>Verify service area and waitlist/intake status</x:v>
      </x:c>
      <x:c r="J53" t="str">
        <x:v>https://www.hud.gov/states/california/renting</x:v>
      </x:c>
      <x:c r="K53" t="str">
        <x:v>2026-07-09</x:v>
      </x:c>
      <x:c r="L53" t="str">
        <x:v>Core</x:v>
      </x:c>
      <x:c r="M53" t="str">
        <x:v>housing authority,subsidy,public housing,voucher</x:v>
      </x:c>
      <x:c r="N53" t="str">
        <x:v>Framework row. Verify the specific local office, phone, application page, and open/closed status before using in a customer report.</x:v>
      </x:c>
    </x:row>
    <x:row r="54" ht="48" customHeight="1">
      <x:c r="A54" t="str">
        <x:v>Santa Clara</x:v>
      </x:c>
      <x:c r="B54" t="str">
        <x:v>Emergency Rental / Housing Assistance</x:v>
      </x:c>
      <x:c r="C54" t="str">
        <x:v>Santa Clara Emergency Rental / Housing Assistance</x:v>
      </x:c>
      <x:c r="D54" t="str">
        <x:v>County-specific resource slot / local program lookup</x:v>
      </x:c>
      <x:c r="E54" t="str">
        <x:v>https://www.211ca.org/</x:v>
      </x:c>
      <x:c r="F54" t="str">
        <x:v>Research / verify</x:v>
      </x:c>
      <x:c r="G54" t="str">
        <x:v>https://www.211ca.org/</x:v>
      </x:c>
      <x:c r="H54" t="str">
        <x:v>Direct rent, deposit, relocation, homeless prevention, or housing stabilization resource where available; funding can open/close.</x:v>
      </x:c>
      <x:c r="I54" t="str">
        <x:v>Funding/appointments may open and close</x:v>
      </x:c>
      <x:c r="J54" t="str">
        <x:v>https://www.211ca.org/</x:v>
      </x:c>
      <x:c r="K54" t="str">
        <x:v>2026-07-09</x:v>
      </x:c>
      <x:c r="L54" t="str">
        <x:v>High</x:v>
      </x:c>
      <x:c r="M54" t="str">
        <x:v>rent,eviction,emergency,homeless prevention</x:v>
      </x:c>
      <x:c r="N54" t="str">
        <x:v>Framework row. Verify the specific local office, phone, application page, and open/closed status before using in a customer report.</x:v>
      </x:c>
    </x:row>
    <x:row r="55" ht="48" customHeight="1">
      <x:c r="A55" t="str">
        <x:v>Santa Clara</x:v>
      </x:c>
      <x:c r="B55" t="str">
        <x:v>Legal Aid / Eviction Defense</x:v>
      </x:c>
      <x:c r="C55" t="str">
        <x:v>Santa Clara Legal Aid / Eviction Defense</x:v>
      </x:c>
      <x:c r="D55" t="str">
        <x:v>County-specific resource slot / local program lookup</x:v>
      </x:c>
      <x:c r="E55" t="str">
        <x:v>https://www.lawhelpca.org/</x:v>
      </x:c>
      <x:c r="F55" t="str">
        <x:v>Research / verify</x:v>
      </x:c>
      <x:c r="G55" t="str">
        <x:v>https://www.lawhelpca.org/</x:v>
      </x:c>
      <x:c r="H55" t="str">
        <x:v>Free/low-cost tenant legal help or eviction resources for eligible tenants.</x:v>
      </x:c>
      <x:c r="I55" t="str">
        <x:v>Verify intake requirements</x:v>
      </x:c>
      <x:c r="J55" t="str">
        <x:v>https://www.lawhelpca.org/</x:v>
      </x:c>
      <x:c r="K55" t="str">
        <x:v>2026-07-09</x:v>
      </x:c>
      <x:c r="L55" t="str">
        <x:v>High</x:v>
      </x:c>
      <x:c r="M55" t="str">
        <x:v>legal aid,eviction,court,tenant rights</x:v>
      </x:c>
      <x:c r="N55" t="str">
        <x:v>Framework row. Verify the specific local office, phone, application page, and open/closed status before using in a customer report.</x:v>
      </x:c>
    </x:row>
    <x:row r="56" ht="48" customHeight="1">
      <x:c r="A56" t="str">
        <x:v>Santa Clara</x:v>
      </x:c>
      <x:c r="B56" t="str">
        <x:v>United Way / 211</x:v>
      </x:c>
      <x:c r="C56" t="str">
        <x:v>Santa Clara United Way / 211</x:v>
      </x:c>
      <x:c r="D56" t="str">
        <x:v>County-specific resource slot / local program lookup</x:v>
      </x:c>
      <x:c r="E56" t="str">
        <x:v>https://www.211ca.org/</x:v>
      </x:c>
      <x:c r="F56" t="str">
        <x:v>Research / verify</x:v>
      </x:c>
      <x:c r="G56" t="str">
        <x:v>https://www.211ca.org/</x:v>
      </x:c>
      <x:c r="H56" t="str">
        <x:v>Referral hub for rent, utilities, food, shelter and emergency resources.</x:v>
      </x:c>
      <x:c r="I56" t="str">
        <x:v>Verify local referral availability</x:v>
      </x:c>
      <x:c r="J56" t="str">
        <x:v>https://www.211ca.org/</x:v>
      </x:c>
      <x:c r="K56" t="str">
        <x:v>2026-07-09</x:v>
      </x:c>
      <x:c r="L56" t="str">
        <x:v>High</x:v>
      </x:c>
      <x:c r="M56" t="str">
        <x:v>211,referral,rent,utilities</x:v>
      </x:c>
      <x:c r="N56" t="str">
        <x:v>Framework row. Verify the specific local office, phone, application page, and open/closed status before using in a customer report.</x:v>
      </x:c>
    </x:row>
    <x:row r="57" ht="48" customHeight="1">
      <x:c r="A57" t="str">
        <x:v>Santa Clara</x:v>
      </x:c>
      <x:c r="B57" t="str">
        <x:v>Salvation Army</x:v>
      </x:c>
      <x:c r="C57" t="str">
        <x:v>Santa Clara Salvation Army</x:v>
      </x:c>
      <x:c r="D57" t="str">
        <x:v>County-specific resource slot / local program lookup</x:v>
      </x:c>
      <x:c r="E57" t="str">
        <x:v>https://westernusa.salvationarmy.org/</x:v>
      </x:c>
      <x:c r="F57" t="str">
        <x:v>Research / verify</x:v>
      </x:c>
      <x:c r="G57" t="str">
        <x:v>https://westernusa.salvationarmy.org/</x:v>
      </x:c>
      <x:c r="H57" t="str">
        <x:v>Faith-based emergency aid resource; assistance varies by branch, county and funding cycle.</x:v>
      </x:c>
      <x:c r="I57" t="str">
        <x:v>Funding/appointments may open and close</x:v>
      </x:c>
      <x:c r="J57" t="str">
        <x:v>https://westernusa.salvationarmy.org/</x:v>
      </x:c>
      <x:c r="K57" t="str">
        <x:v>2026-07-09</x:v>
      </x:c>
      <x:c r="L57" t="str">
        <x:v>Medium</x:v>
      </x:c>
      <x:c r="M57" t="str">
        <x:v>salvation army,rent,utilities,emergency aid</x:v>
      </x:c>
      <x:c r="N57" t="str">
        <x:v>Framework row. Verify the specific local office, phone, application page, and open/closed status before using in a customer report.</x:v>
      </x:c>
    </x:row>
    <x:row r="58" ht="48" customHeight="1">
      <x:c r="A58" t="str">
        <x:v>Santa Clara</x:v>
      </x:c>
      <x:c r="B58" t="str">
        <x:v>Catholic Charities / Faith-Based Emergency Aid</x:v>
      </x:c>
      <x:c r="C58" t="str">
        <x:v>Santa Clara Catholic Charities / Faith-Based Emergency Aid</x:v>
      </x:c>
      <x:c r="D58" t="str">
        <x:v>County-specific resource slot / local program lookup</x:v>
      </x:c>
      <x:c r="E58" t="str">
        <x:v>https://www.catholiccharitiesusa.org/find-help/</x:v>
      </x:c>
      <x:c r="F58" t="str">
        <x:v>Research / verify</x:v>
      </x:c>
      <x:c r="G58" t="str">
        <x:v>https://www.catholiccharitiesusa.org/find-help/</x:v>
      </x:c>
      <x:c r="H58" t="str">
        <x:v>Faith-based rent, utility, family support, immigrant/refugee or emergency services resource where available.</x:v>
      </x:c>
      <x:c r="I58" t="str">
        <x:v>Funding/appointments may open and close</x:v>
      </x:c>
      <x:c r="J58" t="str">
        <x:v>https://www.catholiccharitiesusa.org/find-help/</x:v>
      </x:c>
      <x:c r="K58" t="str">
        <x:v>2026-07-09</x:v>
      </x:c>
      <x:c r="L58" t="str">
        <x:v>Medium</x:v>
      </x:c>
      <x:c r="M58" t="str">
        <x:v>catholic charities,faith based,rent,utilities</x:v>
      </x:c>
      <x:c r="N58" t="str">
        <x:v>Framework row. Verify the specific local office, phone, application page, and open/closed status before using in a customer report.</x:v>
      </x:c>
    </x:row>
    <x:row r="59" ht="48" customHeight="1">
      <x:c r="A59" t="str">
        <x:v>Santa Clara</x:v>
      </x:c>
      <x:c r="B59" t="str">
        <x:v>Community Action / Human Services</x:v>
      </x:c>
      <x:c r="C59" t="str">
        <x:v>Santa Clara Community Action / Human Services</x:v>
      </x:c>
      <x:c r="D59" t="str">
        <x:v>County-specific resource slot / local program lookup</x:v>
      </x:c>
      <x:c r="E59" t="str">
        <x:v>https://www.csd.ca.gov/Pages/FindServices.aspx</x:v>
      </x:c>
      <x:c r="F59" t="str">
        <x:v>Research / verify</x:v>
      </x:c>
      <x:c r="G59" t="str">
        <x:v>https://www.csd.ca.gov/Pages/FindServices.aspx</x:v>
      </x:c>
      <x:c r="H59" t="str">
        <x:v>Community action or human services agency for household stabilization, utilities, and possible rent support.</x:v>
      </x:c>
      <x:c r="I59" t="str">
        <x:v>Verify eligibility and county coverage</x:v>
      </x:c>
      <x:c r="J59" t="str">
        <x:v>https://www.csd.ca.gov/Pages/FindServices.aspx</x:v>
      </x:c>
      <x:c r="K59" t="str">
        <x:v>2026-07-09</x:v>
      </x:c>
      <x:c r="L59" t="str">
        <x:v>Medium</x:v>
      </x:c>
      <x:c r="M59" t="str">
        <x:v>community action,human services,liheap,rent,utilities</x:v>
      </x:c>
      <x:c r="N59" t="str">
        <x:v>Framework row. Verify the specific local office, phone, application page, and open/closed status before using in a customer report.</x:v>
      </x:c>
    </x:row>
    <x:row r="60" ht="48" customHeight="1">
      <x:c r="A60" t="str">
        <x:v>Santa Clara</x:v>
      </x:c>
      <x:c r="B60" t="str">
        <x:v>HUD-Approved Housing Counseling</x:v>
      </x:c>
      <x:c r="C60" t="str">
        <x:v>Santa Clara HUD-Approved Housing Counseling</x:v>
      </x:c>
      <x:c r="D60" t="str">
        <x:v>County-specific resource slot / local program lookup</x:v>
      </x:c>
      <x:c r="E60" t="str">
        <x:v>https://www.consumerfinance.gov/find-a-housing-counselor/</x:v>
      </x:c>
      <x:c r="F60" t="str">
        <x:v>Research / verify</x:v>
      </x:c>
      <x:c r="G60" t="str">
        <x:v>https://www.consumerfinance.gov/find-a-housing-counselor/</x:v>
      </x:c>
      <x:c r="H60" t="str">
        <x:v>HUD-approved counseling pathway for housing stability, budgeting, rental counseling or referrals.</x:v>
      </x:c>
      <x:c r="I60" t="str">
        <x:v>Use HUD/CFPB locator to verify provider</x:v>
      </x:c>
      <x:c r="J60" t="str">
        <x:v>https://www.consumerfinance.gov/find-a-housing-counselor/</x:v>
      </x:c>
      <x:c r="K60" t="str">
        <x:v>2026-07-09</x:v>
      </x:c>
      <x:c r="L60" t="str">
        <x:v>Medium</x:v>
      </x:c>
      <x:c r="M60" t="str">
        <x:v>housing counseling,hud,counselor,tenant support</x:v>
      </x:c>
      <x:c r="N60" t="str">
        <x:v>Framework row. Verify the specific local office, phone, application page, and open/closed status before using in a customer report.</x:v>
      </x:c>
    </x:row>
    <x:row r="61" ht="48" customHeight="1">
      <x:c r="A61" t="str">
        <x:v>Santa Clara</x:v>
      </x:c>
      <x:c r="B61" t="str">
        <x:v>Court Self-Help / Tenant Forms</x:v>
      </x:c>
      <x:c r="C61" t="str">
        <x:v>Santa Clara Court Self-Help / Tenant Forms</x:v>
      </x:c>
      <x:c r="D61" t="str">
        <x:v>County-specific resource slot / local program lookup</x:v>
      </x:c>
      <x:c r="E61" t="str">
        <x:v>https://selfhelp.courts.ca.gov/eviction-tenant</x:v>
      </x:c>
      <x:c r="F61" t="str">
        <x:v>Research / verify</x:v>
      </x:c>
      <x:c r="G61" t="str">
        <x:v>https://selfhelp.courts.ca.gov/eviction-tenant</x:v>
      </x:c>
      <x:c r="H61" t="str">
        <x:v>Court self-help, tenant forms, and procedural resources; not a substitute for legal advice.</x:v>
      </x:c>
      <x:c r="I61" t="str">
        <x:v>Verify county court instructions</x:v>
      </x:c>
      <x:c r="J61" t="str">
        <x:v>https://selfhelp.courts.ca.gov/eviction-tenant</x:v>
      </x:c>
      <x:c r="K61" t="str">
        <x:v>2026-07-09</x:v>
      </x:c>
      <x:c r="L61" t="str">
        <x:v>High</x:v>
      </x:c>
      <x:c r="M61" t="str">
        <x:v>court,self-help,forms,eviction,tenant response</x:v>
      </x:c>
      <x:c r="N61" t="str">
        <x:v>Framework row. Verify the specific local office, phone, application page, and open/closed status before using in a customer report.</x:v>
      </x:c>
    </x:row>
    <x:row r="62" ht="48" customHeight="1">
      <x:c r="A62" t="str">
        <x:v>Alameda</x:v>
      </x:c>
      <x:c r="B62" t="str">
        <x:v>County Housing Department</x:v>
      </x:c>
      <x:c r="C62" t="str">
        <x:v>Alameda County Housing Department</x:v>
      </x:c>
      <x:c r="D62" t="str">
        <x:v>County-specific resource slot / local program lookup</x:v>
      </x:c>
      <x:c r="E62" t="str">
        <x:v>https://www.hcd.ca.gov/</x:v>
      </x:c>
      <x:c r="F62" t="str">
        <x:v>Research / verify</x:v>
      </x:c>
      <x:c r="G62" t="str">
        <x:v>https://www.hcd.ca.gov/</x:v>
      </x:c>
      <x:c r="H62" t="str">
        <x:v>County housing/community development office; first stop for local program status.</x:v>
      </x:c>
      <x:c r="I62" t="str">
        <x:v>Verify local program status</x:v>
      </x:c>
      <x:c r="J62" t="str">
        <x:v>https://www.hcd.ca.gov/</x:v>
      </x:c>
      <x:c r="K62" t="str">
        <x:v>2026-07-09</x:v>
      </x:c>
      <x:c r="L62" t="str">
        <x:v>Core</x:v>
      </x:c>
      <x:c r="M62" t="str">
        <x:v>county,housing,program status</x:v>
      </x:c>
      <x:c r="N62" t="str">
        <x:v>Framework row. Verify the specific local office, phone, application page, and open/closed status before using in a customer report.</x:v>
      </x:c>
    </x:row>
    <x:row r="63" ht="48" customHeight="1">
      <x:c r="A63" t="str">
        <x:v>Alameda</x:v>
      </x:c>
      <x:c r="B63" t="str">
        <x:v>Local Housing Authority</x:v>
      </x:c>
      <x:c r="C63" t="str">
        <x:v>Alameda Local Housing Authority</x:v>
      </x:c>
      <x:c r="D63" t="str">
        <x:v>County-specific resource slot / local program lookup</x:v>
      </x:c>
      <x:c r="E63" t="str">
        <x:v>https://www.hud.gov/states/california/renting</x:v>
      </x:c>
      <x:c r="F63" t="str">
        <x:v>Research / verify</x:v>
      </x:c>
      <x:c r="G63" t="str">
        <x:v>https://www.hud.gov/states/california/renting</x:v>
      </x:c>
      <x:c r="H63" t="str">
        <x:v>Public housing/voucher agency or local housing authority resource; may not provide emergency rent grants.</x:v>
      </x:c>
      <x:c r="I63" t="str">
        <x:v>Verify service area and waitlist/intake status</x:v>
      </x:c>
      <x:c r="J63" t="str">
        <x:v>https://www.hud.gov/states/california/renting</x:v>
      </x:c>
      <x:c r="K63" t="str">
        <x:v>2026-07-09</x:v>
      </x:c>
      <x:c r="L63" t="str">
        <x:v>Core</x:v>
      </x:c>
      <x:c r="M63" t="str">
        <x:v>housing authority,subsidy,public housing,voucher</x:v>
      </x:c>
      <x:c r="N63" t="str">
        <x:v>Framework row. Verify the specific local office, phone, application page, and open/closed status before using in a customer report.</x:v>
      </x:c>
    </x:row>
    <x:row r="64" ht="48" customHeight="1">
      <x:c r="A64" t="str">
        <x:v>Alameda</x:v>
      </x:c>
      <x:c r="B64" t="str">
        <x:v>Emergency Rental / Housing Assistance</x:v>
      </x:c>
      <x:c r="C64" t="str">
        <x:v>Alameda Emergency Rental / Housing Assistance</x:v>
      </x:c>
      <x:c r="D64" t="str">
        <x:v>County-specific resource slot / local program lookup</x:v>
      </x:c>
      <x:c r="E64" t="str">
        <x:v>https://www.211ca.org/</x:v>
      </x:c>
      <x:c r="F64" t="str">
        <x:v>Research / verify</x:v>
      </x:c>
      <x:c r="G64" t="str">
        <x:v>https://www.211ca.org/</x:v>
      </x:c>
      <x:c r="H64" t="str">
        <x:v>Direct rent, deposit, relocation, homeless prevention, or housing stabilization resource where available; funding can open/close.</x:v>
      </x:c>
      <x:c r="I64" t="str">
        <x:v>Funding/appointments may open and close</x:v>
      </x:c>
      <x:c r="J64" t="str">
        <x:v>https://www.211ca.org/</x:v>
      </x:c>
      <x:c r="K64" t="str">
        <x:v>2026-07-09</x:v>
      </x:c>
      <x:c r="L64" t="str">
        <x:v>High</x:v>
      </x:c>
      <x:c r="M64" t="str">
        <x:v>rent,eviction,emergency,homeless prevention</x:v>
      </x:c>
      <x:c r="N64" t="str">
        <x:v>Framework row. Verify the specific local office, phone, application page, and open/closed status before using in a customer report.</x:v>
      </x:c>
    </x:row>
    <x:row r="65" ht="48" customHeight="1">
      <x:c r="A65" t="str">
        <x:v>Alameda</x:v>
      </x:c>
      <x:c r="B65" t="str">
        <x:v>Legal Aid / Eviction Defense</x:v>
      </x:c>
      <x:c r="C65" t="str">
        <x:v>Alameda Legal Aid / Eviction Defense</x:v>
      </x:c>
      <x:c r="D65" t="str">
        <x:v>County-specific resource slot / local program lookup</x:v>
      </x:c>
      <x:c r="E65" t="str">
        <x:v>https://www.lawhelpca.org/</x:v>
      </x:c>
      <x:c r="F65" t="str">
        <x:v>Research / verify</x:v>
      </x:c>
      <x:c r="G65" t="str">
        <x:v>https://www.lawhelpca.org/</x:v>
      </x:c>
      <x:c r="H65" t="str">
        <x:v>Free/low-cost tenant legal help or eviction resources for eligible tenants.</x:v>
      </x:c>
      <x:c r="I65" t="str">
        <x:v>Verify intake requirements</x:v>
      </x:c>
      <x:c r="J65" t="str">
        <x:v>https://www.lawhelpca.org/</x:v>
      </x:c>
      <x:c r="K65" t="str">
        <x:v>2026-07-09</x:v>
      </x:c>
      <x:c r="L65" t="str">
        <x:v>High</x:v>
      </x:c>
      <x:c r="M65" t="str">
        <x:v>legal aid,eviction,court,tenant rights</x:v>
      </x:c>
      <x:c r="N65" t="str">
        <x:v>Framework row. Verify the specific local office, phone, application page, and open/closed status before using in a customer report.</x:v>
      </x:c>
    </x:row>
    <x:row r="66" ht="48" customHeight="1">
      <x:c r="A66" t="str">
        <x:v>Alameda</x:v>
      </x:c>
      <x:c r="B66" t="str">
        <x:v>United Way / 211</x:v>
      </x:c>
      <x:c r="C66" t="str">
        <x:v>Alameda United Way / 211</x:v>
      </x:c>
      <x:c r="D66" t="str">
        <x:v>County-specific resource slot / local program lookup</x:v>
      </x:c>
      <x:c r="E66" t="str">
        <x:v>https://www.211ca.org/</x:v>
      </x:c>
      <x:c r="F66" t="str">
        <x:v>Research / verify</x:v>
      </x:c>
      <x:c r="G66" t="str">
        <x:v>https://www.211ca.org/</x:v>
      </x:c>
      <x:c r="H66" t="str">
        <x:v>Referral hub for rent, utilities, food, shelter and emergency resources.</x:v>
      </x:c>
      <x:c r="I66" t="str">
        <x:v>Verify local referral availability</x:v>
      </x:c>
      <x:c r="J66" t="str">
        <x:v>https://www.211ca.org/</x:v>
      </x:c>
      <x:c r="K66" t="str">
        <x:v>2026-07-09</x:v>
      </x:c>
      <x:c r="L66" t="str">
        <x:v>High</x:v>
      </x:c>
      <x:c r="M66" t="str">
        <x:v>211,referral,rent,utilities</x:v>
      </x:c>
      <x:c r="N66" t="str">
        <x:v>Framework row. Verify the specific local office, phone, application page, and open/closed status before using in a customer report.</x:v>
      </x:c>
    </x:row>
    <x:row r="67" ht="48" customHeight="1">
      <x:c r="A67" t="str">
        <x:v>Alameda</x:v>
      </x:c>
      <x:c r="B67" t="str">
        <x:v>Salvation Army</x:v>
      </x:c>
      <x:c r="C67" t="str">
        <x:v>Alameda Salvation Army</x:v>
      </x:c>
      <x:c r="D67" t="str">
        <x:v>County-specific resource slot / local program lookup</x:v>
      </x:c>
      <x:c r="E67" t="str">
        <x:v>https://westernusa.salvationarmy.org/</x:v>
      </x:c>
      <x:c r="F67" t="str">
        <x:v>Research / verify</x:v>
      </x:c>
      <x:c r="G67" t="str">
        <x:v>https://westernusa.salvationarmy.org/</x:v>
      </x:c>
      <x:c r="H67" t="str">
        <x:v>Faith-based emergency aid resource; assistance varies by branch, county and funding cycle.</x:v>
      </x:c>
      <x:c r="I67" t="str">
        <x:v>Funding/appointments may open and close</x:v>
      </x:c>
      <x:c r="J67" t="str">
        <x:v>https://westernusa.salvationarmy.org/</x:v>
      </x:c>
      <x:c r="K67" t="str">
        <x:v>2026-07-09</x:v>
      </x:c>
      <x:c r="L67" t="str">
        <x:v>Medium</x:v>
      </x:c>
      <x:c r="M67" t="str">
        <x:v>salvation army,rent,utilities,emergency aid</x:v>
      </x:c>
      <x:c r="N67" t="str">
        <x:v>Framework row. Verify the specific local office, phone, application page, and open/closed status before using in a customer report.</x:v>
      </x:c>
    </x:row>
    <x:row r="68" ht="48" customHeight="1">
      <x:c r="A68" t="str">
        <x:v>Alameda</x:v>
      </x:c>
      <x:c r="B68" t="str">
        <x:v>Catholic Charities / Faith-Based Emergency Aid</x:v>
      </x:c>
      <x:c r="C68" t="str">
        <x:v>Alameda Catholic Charities / Faith-Based Emergency Aid</x:v>
      </x:c>
      <x:c r="D68" t="str">
        <x:v>County-specific resource slot / local program lookup</x:v>
      </x:c>
      <x:c r="E68" t="str">
        <x:v>https://www.catholiccharitiesusa.org/find-help/</x:v>
      </x:c>
      <x:c r="F68" t="str">
        <x:v>Research / verify</x:v>
      </x:c>
      <x:c r="G68" t="str">
        <x:v>https://www.catholiccharitiesusa.org/find-help/</x:v>
      </x:c>
      <x:c r="H68" t="str">
        <x:v>Faith-based rent, utility, family support, immigrant/refugee or emergency services resource where available.</x:v>
      </x:c>
      <x:c r="I68" t="str">
        <x:v>Funding/appointments may open and close</x:v>
      </x:c>
      <x:c r="J68" t="str">
        <x:v>https://www.catholiccharitiesusa.org/find-help/</x:v>
      </x:c>
      <x:c r="K68" t="str">
        <x:v>2026-07-09</x:v>
      </x:c>
      <x:c r="L68" t="str">
        <x:v>Medium</x:v>
      </x:c>
      <x:c r="M68" t="str">
        <x:v>catholic charities,faith based,rent,utilities</x:v>
      </x:c>
      <x:c r="N68" t="str">
        <x:v>Framework row. Verify the specific local office, phone, application page, and open/closed status before using in a customer report.</x:v>
      </x:c>
    </x:row>
    <x:row r="69" ht="48" customHeight="1">
      <x:c r="A69" t="str">
        <x:v>Alameda</x:v>
      </x:c>
      <x:c r="B69" t="str">
        <x:v>Community Action / Human Services</x:v>
      </x:c>
      <x:c r="C69" t="str">
        <x:v>Alameda Community Action / Human Services</x:v>
      </x:c>
      <x:c r="D69" t="str">
        <x:v>County-specific resource slot / local program lookup</x:v>
      </x:c>
      <x:c r="E69" t="str">
        <x:v>https://www.csd.ca.gov/Pages/FindServices.aspx</x:v>
      </x:c>
      <x:c r="F69" t="str">
        <x:v>Research / verify</x:v>
      </x:c>
      <x:c r="G69" t="str">
        <x:v>https://www.csd.ca.gov/Pages/FindServices.aspx</x:v>
      </x:c>
      <x:c r="H69" t="str">
        <x:v>Community action or human services agency for household stabilization, utilities, and possible rent support.</x:v>
      </x:c>
      <x:c r="I69" t="str">
        <x:v>Verify eligibility and county coverage</x:v>
      </x:c>
      <x:c r="J69" t="str">
        <x:v>https://www.csd.ca.gov/Pages/FindServices.aspx</x:v>
      </x:c>
      <x:c r="K69" t="str">
        <x:v>2026-07-09</x:v>
      </x:c>
      <x:c r="L69" t="str">
        <x:v>Medium</x:v>
      </x:c>
      <x:c r="M69" t="str">
        <x:v>community action,human services,liheap,rent,utilities</x:v>
      </x:c>
      <x:c r="N69" t="str">
        <x:v>Framework row. Verify the specific local office, phone, application page, and open/closed status before using in a customer report.</x:v>
      </x:c>
    </x:row>
    <x:row r="70" ht="48" customHeight="1">
      <x:c r="A70" t="str">
        <x:v>Alameda</x:v>
      </x:c>
      <x:c r="B70" t="str">
        <x:v>HUD-Approved Housing Counseling</x:v>
      </x:c>
      <x:c r="C70" t="str">
        <x:v>Alameda HUD-Approved Housing Counseling</x:v>
      </x:c>
      <x:c r="D70" t="str">
        <x:v>County-specific resource slot / local program lookup</x:v>
      </x:c>
      <x:c r="E70" t="str">
        <x:v>https://www.consumerfinance.gov/find-a-housing-counselor/</x:v>
      </x:c>
      <x:c r="F70" t="str">
        <x:v>Research / verify</x:v>
      </x:c>
      <x:c r="G70" t="str">
        <x:v>https://www.consumerfinance.gov/find-a-housing-counselor/</x:v>
      </x:c>
      <x:c r="H70" t="str">
        <x:v>HUD-approved counseling pathway for housing stability, budgeting, rental counseling or referrals.</x:v>
      </x:c>
      <x:c r="I70" t="str">
        <x:v>Use HUD/CFPB locator to verify provider</x:v>
      </x:c>
      <x:c r="J70" t="str">
        <x:v>https://www.consumerfinance.gov/find-a-housing-counselor/</x:v>
      </x:c>
      <x:c r="K70" t="str">
        <x:v>2026-07-09</x:v>
      </x:c>
      <x:c r="L70" t="str">
        <x:v>Medium</x:v>
      </x:c>
      <x:c r="M70" t="str">
        <x:v>housing counseling,hud,counselor,tenant support</x:v>
      </x:c>
      <x:c r="N70" t="str">
        <x:v>Framework row. Verify the specific local office, phone, application page, and open/closed status before using in a customer report.</x:v>
      </x:c>
    </x:row>
    <x:row r="71" ht="48" customHeight="1">
      <x:c r="A71" t="str">
        <x:v>Alameda</x:v>
      </x:c>
      <x:c r="B71" t="str">
        <x:v>Court Self-Help / Tenant Forms</x:v>
      </x:c>
      <x:c r="C71" t="str">
        <x:v>Alameda Court Self-Help / Tenant Forms</x:v>
      </x:c>
      <x:c r="D71" t="str">
        <x:v>County-specific resource slot / local program lookup</x:v>
      </x:c>
      <x:c r="E71" t="str">
        <x:v>https://selfhelp.courts.ca.gov/eviction-tenant</x:v>
      </x:c>
      <x:c r="F71" t="str">
        <x:v>Research / verify</x:v>
      </x:c>
      <x:c r="G71" t="str">
        <x:v>https://selfhelp.courts.ca.gov/eviction-tenant</x:v>
      </x:c>
      <x:c r="H71" t="str">
        <x:v>Court self-help, tenant forms, and procedural resources; not a substitute for legal advice.</x:v>
      </x:c>
      <x:c r="I71" t="str">
        <x:v>Verify county court instructions</x:v>
      </x:c>
      <x:c r="J71" t="str">
        <x:v>https://selfhelp.courts.ca.gov/eviction-tenant</x:v>
      </x:c>
      <x:c r="K71" t="str">
        <x:v>2026-07-09</x:v>
      </x:c>
      <x:c r="L71" t="str">
        <x:v>High</x:v>
      </x:c>
      <x:c r="M71" t="str">
        <x:v>court,self-help,forms,eviction,tenant response</x:v>
      </x:c>
      <x:c r="N71" t="str">
        <x:v>Framework row. Verify the specific local office, phone, application page, and open/closed status before using in a customer report.</x:v>
      </x:c>
    </x:row>
    <x:row r="72" ht="48" customHeight="1">
      <x:c r="A72" t="str">
        <x:v>Sacramento</x:v>
      </x:c>
      <x:c r="B72" t="str">
        <x:v>County Housing Department</x:v>
      </x:c>
      <x:c r="C72" t="str">
        <x:v>Sacramento County Housing Department</x:v>
      </x:c>
      <x:c r="D72" t="str">
        <x:v>County-specific resource slot / local program lookup</x:v>
      </x:c>
      <x:c r="E72" t="str">
        <x:v>https://www.hcd.ca.gov/</x:v>
      </x:c>
      <x:c r="F72" t="str">
        <x:v>Research / verify</x:v>
      </x:c>
      <x:c r="G72" t="str">
        <x:v>https://www.hcd.ca.gov/</x:v>
      </x:c>
      <x:c r="H72" t="str">
        <x:v>County housing/community development office; first stop for local program status.</x:v>
      </x:c>
      <x:c r="I72" t="str">
        <x:v>Verify local program status</x:v>
      </x:c>
      <x:c r="J72" t="str">
        <x:v>https://www.hcd.ca.gov/</x:v>
      </x:c>
      <x:c r="K72" t="str">
        <x:v>2026-07-09</x:v>
      </x:c>
      <x:c r="L72" t="str">
        <x:v>Core</x:v>
      </x:c>
      <x:c r="M72" t="str">
        <x:v>county,housing,program status</x:v>
      </x:c>
      <x:c r="N72" t="str">
        <x:v>Framework row. Verify the specific local office, phone, application page, and open/closed status before using in a customer report.</x:v>
      </x:c>
    </x:row>
    <x:row r="73" ht="48" customHeight="1">
      <x:c r="A73" t="str">
        <x:v>Sacramento</x:v>
      </x:c>
      <x:c r="B73" t="str">
        <x:v>Local Housing Authority</x:v>
      </x:c>
      <x:c r="C73" t="str">
        <x:v>Sacramento Local Housing Authority</x:v>
      </x:c>
      <x:c r="D73" t="str">
        <x:v>County-specific resource slot / local program lookup</x:v>
      </x:c>
      <x:c r="E73" t="str">
        <x:v>https://www.hud.gov/states/california/renting</x:v>
      </x:c>
      <x:c r="F73" t="str">
        <x:v>Research / verify</x:v>
      </x:c>
      <x:c r="G73" t="str">
        <x:v>https://www.hud.gov/states/california/renting</x:v>
      </x:c>
      <x:c r="H73" t="str">
        <x:v>Public housing/voucher agency or local housing authority resource; may not provide emergency rent grants.</x:v>
      </x:c>
      <x:c r="I73" t="str">
        <x:v>Verify service area and waitlist/intake status</x:v>
      </x:c>
      <x:c r="J73" t="str">
        <x:v>https://www.hud.gov/states/california/renting</x:v>
      </x:c>
      <x:c r="K73" t="str">
        <x:v>2026-07-09</x:v>
      </x:c>
      <x:c r="L73" t="str">
        <x:v>Core</x:v>
      </x:c>
      <x:c r="M73" t="str">
        <x:v>housing authority,subsidy,public housing,voucher</x:v>
      </x:c>
      <x:c r="N73" t="str">
        <x:v>Framework row. Verify the specific local office, phone, application page, and open/closed status before using in a customer report.</x:v>
      </x:c>
    </x:row>
    <x:row r="74" ht="48" customHeight="1">
      <x:c r="A74" t="str">
        <x:v>Sacramento</x:v>
      </x:c>
      <x:c r="B74" t="str">
        <x:v>Emergency Rental / Housing Assistance</x:v>
      </x:c>
      <x:c r="C74" t="str">
        <x:v>Sacramento Emergency Rental / Housing Assistance</x:v>
      </x:c>
      <x:c r="D74" t="str">
        <x:v>County-specific resource slot / local program lookup</x:v>
      </x:c>
      <x:c r="E74" t="str">
        <x:v>https://www.211ca.org/</x:v>
      </x:c>
      <x:c r="F74" t="str">
        <x:v>Research / verify</x:v>
      </x:c>
      <x:c r="G74" t="str">
        <x:v>https://www.211ca.org/</x:v>
      </x:c>
      <x:c r="H74" t="str">
        <x:v>Direct rent, deposit, relocation, homeless prevention, or housing stabilization resource where available; funding can open/close.</x:v>
      </x:c>
      <x:c r="I74" t="str">
        <x:v>Funding/appointments may open and close</x:v>
      </x:c>
      <x:c r="J74" t="str">
        <x:v>https://www.211ca.org/</x:v>
      </x:c>
      <x:c r="K74" t="str">
        <x:v>2026-07-09</x:v>
      </x:c>
      <x:c r="L74" t="str">
        <x:v>High</x:v>
      </x:c>
      <x:c r="M74" t="str">
        <x:v>rent,eviction,emergency,homeless prevention</x:v>
      </x:c>
      <x:c r="N74" t="str">
        <x:v>Framework row. Verify the specific local office, phone, application page, and open/closed status before using in a customer report.</x:v>
      </x:c>
    </x:row>
    <x:row r="75" ht="48" customHeight="1">
      <x:c r="A75" t="str">
        <x:v>Sacramento</x:v>
      </x:c>
      <x:c r="B75" t="str">
        <x:v>Legal Aid / Eviction Defense</x:v>
      </x:c>
      <x:c r="C75" t="str">
        <x:v>Sacramento Legal Aid / Eviction Defense</x:v>
      </x:c>
      <x:c r="D75" t="str">
        <x:v>County-specific resource slot / local program lookup</x:v>
      </x:c>
      <x:c r="E75" t="str">
        <x:v>https://www.lawhelpca.org/</x:v>
      </x:c>
      <x:c r="F75" t="str">
        <x:v>Research / verify</x:v>
      </x:c>
      <x:c r="G75" t="str">
        <x:v>https://www.lawhelpca.org/</x:v>
      </x:c>
      <x:c r="H75" t="str">
        <x:v>Free/low-cost tenant legal help or eviction resources for eligible tenants.</x:v>
      </x:c>
      <x:c r="I75" t="str">
        <x:v>Verify intake requirements</x:v>
      </x:c>
      <x:c r="J75" t="str">
        <x:v>https://www.lawhelpca.org/</x:v>
      </x:c>
      <x:c r="K75" t="str">
        <x:v>2026-07-09</x:v>
      </x:c>
      <x:c r="L75" t="str">
        <x:v>High</x:v>
      </x:c>
      <x:c r="M75" t="str">
        <x:v>legal aid,eviction,court,tenant rights</x:v>
      </x:c>
      <x:c r="N75" t="str">
        <x:v>Framework row. Verify the specific local office, phone, application page, and open/closed status before using in a customer report.</x:v>
      </x:c>
    </x:row>
    <x:row r="76" ht="48" customHeight="1">
      <x:c r="A76" t="str">
        <x:v>Sacramento</x:v>
      </x:c>
      <x:c r="B76" t="str">
        <x:v>United Way / 211</x:v>
      </x:c>
      <x:c r="C76" t="str">
        <x:v>Sacramento United Way / 211</x:v>
      </x:c>
      <x:c r="D76" t="str">
        <x:v>County-specific resource slot / local program lookup</x:v>
      </x:c>
      <x:c r="E76" t="str">
        <x:v>https://www.211ca.org/</x:v>
      </x:c>
      <x:c r="F76" t="str">
        <x:v>Research / verify</x:v>
      </x:c>
      <x:c r="G76" t="str">
        <x:v>https://www.211ca.org/</x:v>
      </x:c>
      <x:c r="H76" t="str">
        <x:v>Referral hub for rent, utilities, food, shelter and emergency resources.</x:v>
      </x:c>
      <x:c r="I76" t="str">
        <x:v>Verify local referral availability</x:v>
      </x:c>
      <x:c r="J76" t="str">
        <x:v>https://www.211ca.org/</x:v>
      </x:c>
      <x:c r="K76" t="str">
        <x:v>2026-07-09</x:v>
      </x:c>
      <x:c r="L76" t="str">
        <x:v>High</x:v>
      </x:c>
      <x:c r="M76" t="str">
        <x:v>211,referral,rent,utilities</x:v>
      </x:c>
      <x:c r="N76" t="str">
        <x:v>Framework row. Verify the specific local office, phone, application page, and open/closed status before using in a customer report.</x:v>
      </x:c>
    </x:row>
    <x:row r="77" ht="48" customHeight="1">
      <x:c r="A77" t="str">
        <x:v>Sacramento</x:v>
      </x:c>
      <x:c r="B77" t="str">
        <x:v>Salvation Army</x:v>
      </x:c>
      <x:c r="C77" t="str">
        <x:v>Sacramento Salvation Army</x:v>
      </x:c>
      <x:c r="D77" t="str">
        <x:v>County-specific resource slot / local program lookup</x:v>
      </x:c>
      <x:c r="E77" t="str">
        <x:v>https://westernusa.salvationarmy.org/</x:v>
      </x:c>
      <x:c r="F77" t="str">
        <x:v>Research / verify</x:v>
      </x:c>
      <x:c r="G77" t="str">
        <x:v>https://westernusa.salvationarmy.org/</x:v>
      </x:c>
      <x:c r="H77" t="str">
        <x:v>Faith-based emergency aid resource; assistance varies by branch, county and funding cycle.</x:v>
      </x:c>
      <x:c r="I77" t="str">
        <x:v>Funding/appointments may open and close</x:v>
      </x:c>
      <x:c r="J77" t="str">
        <x:v>https://westernusa.salvationarmy.org/</x:v>
      </x:c>
      <x:c r="K77" t="str">
        <x:v>2026-07-09</x:v>
      </x:c>
      <x:c r="L77" t="str">
        <x:v>Medium</x:v>
      </x:c>
      <x:c r="M77" t="str">
        <x:v>salvation army,rent,utilities,emergency aid</x:v>
      </x:c>
      <x:c r="N77" t="str">
        <x:v>Framework row. Verify the specific local office, phone, application page, and open/closed status before using in a customer report.</x:v>
      </x:c>
    </x:row>
    <x:row r="78" ht="48" customHeight="1">
      <x:c r="A78" t="str">
        <x:v>Sacramento</x:v>
      </x:c>
      <x:c r="B78" t="str">
        <x:v>Catholic Charities / Faith-Based Emergency Aid</x:v>
      </x:c>
      <x:c r="C78" t="str">
        <x:v>Sacramento Catholic Charities / Faith-Based Emergency Aid</x:v>
      </x:c>
      <x:c r="D78" t="str">
        <x:v>County-specific resource slot / local program lookup</x:v>
      </x:c>
      <x:c r="E78" t="str">
        <x:v>https://www.catholiccharitiesusa.org/find-help/</x:v>
      </x:c>
      <x:c r="F78" t="str">
        <x:v>Research / verify</x:v>
      </x:c>
      <x:c r="G78" t="str">
        <x:v>https://www.catholiccharitiesusa.org/find-help/</x:v>
      </x:c>
      <x:c r="H78" t="str">
        <x:v>Faith-based rent, utility, family support, immigrant/refugee or emergency services resource where available.</x:v>
      </x:c>
      <x:c r="I78" t="str">
        <x:v>Funding/appointments may open and close</x:v>
      </x:c>
      <x:c r="J78" t="str">
        <x:v>https://www.catholiccharitiesusa.org/find-help/</x:v>
      </x:c>
      <x:c r="K78" t="str">
        <x:v>2026-07-09</x:v>
      </x:c>
      <x:c r="L78" t="str">
        <x:v>Medium</x:v>
      </x:c>
      <x:c r="M78" t="str">
        <x:v>catholic charities,faith based,rent,utilities</x:v>
      </x:c>
      <x:c r="N78" t="str">
        <x:v>Framework row. Verify the specific local office, phone, application page, and open/closed status before using in a customer report.</x:v>
      </x:c>
    </x:row>
    <x:row r="79" ht="48" customHeight="1">
      <x:c r="A79" t="str">
        <x:v>Sacramento</x:v>
      </x:c>
      <x:c r="B79" t="str">
        <x:v>Community Action / Human Services</x:v>
      </x:c>
      <x:c r="C79" t="str">
        <x:v>Sacramento Community Action / Human Services</x:v>
      </x:c>
      <x:c r="D79" t="str">
        <x:v>County-specific resource slot / local program lookup</x:v>
      </x:c>
      <x:c r="E79" t="str">
        <x:v>https://www.csd.ca.gov/Pages/FindServices.aspx</x:v>
      </x:c>
      <x:c r="F79" t="str">
        <x:v>Research / verify</x:v>
      </x:c>
      <x:c r="G79" t="str">
        <x:v>https://www.csd.ca.gov/Pages/FindServices.aspx</x:v>
      </x:c>
      <x:c r="H79" t="str">
        <x:v>Community action or human services agency for household stabilization, utilities, and possible rent support.</x:v>
      </x:c>
      <x:c r="I79" t="str">
        <x:v>Verify eligibility and county coverage</x:v>
      </x:c>
      <x:c r="J79" t="str">
        <x:v>https://www.csd.ca.gov/Pages/FindServices.aspx</x:v>
      </x:c>
      <x:c r="K79" t="str">
        <x:v>2026-07-09</x:v>
      </x:c>
      <x:c r="L79" t="str">
        <x:v>Medium</x:v>
      </x:c>
      <x:c r="M79" t="str">
        <x:v>community action,human services,liheap,rent,utilities</x:v>
      </x:c>
      <x:c r="N79" t="str">
        <x:v>Framework row. Verify the specific local office, phone, application page, and open/closed status before using in a customer report.</x:v>
      </x:c>
    </x:row>
    <x:row r="80" ht="48" customHeight="1">
      <x:c r="A80" t="str">
        <x:v>Sacramento</x:v>
      </x:c>
      <x:c r="B80" t="str">
        <x:v>HUD-Approved Housing Counseling</x:v>
      </x:c>
      <x:c r="C80" t="str">
        <x:v>Sacramento HUD-Approved Housing Counseling</x:v>
      </x:c>
      <x:c r="D80" t="str">
        <x:v>County-specific resource slot / local program lookup</x:v>
      </x:c>
      <x:c r="E80" t="str">
        <x:v>https://www.consumerfinance.gov/find-a-housing-counselor/</x:v>
      </x:c>
      <x:c r="F80" t="str">
        <x:v>Research / verify</x:v>
      </x:c>
      <x:c r="G80" t="str">
        <x:v>https://www.consumerfinance.gov/find-a-housing-counselor/</x:v>
      </x:c>
      <x:c r="H80" t="str">
        <x:v>HUD-approved counseling pathway for housing stability, budgeting, rental counseling or referrals.</x:v>
      </x:c>
      <x:c r="I80" t="str">
        <x:v>Use HUD/CFPB locator to verify provider</x:v>
      </x:c>
      <x:c r="J80" t="str">
        <x:v>https://www.consumerfinance.gov/find-a-housing-counselor/</x:v>
      </x:c>
      <x:c r="K80" t="str">
        <x:v>2026-07-09</x:v>
      </x:c>
      <x:c r="L80" t="str">
        <x:v>Medium</x:v>
      </x:c>
      <x:c r="M80" t="str">
        <x:v>housing counseling,hud,counselor,tenant support</x:v>
      </x:c>
      <x:c r="N80" t="str">
        <x:v>Framework row. Verify the specific local office, phone, application page, and open/closed status before using in a customer report.</x:v>
      </x:c>
    </x:row>
    <x:row r="81" ht="48" customHeight="1">
      <x:c r="A81" t="str">
        <x:v>Sacramento</x:v>
      </x:c>
      <x:c r="B81" t="str">
        <x:v>Court Self-Help / Tenant Forms</x:v>
      </x:c>
      <x:c r="C81" t="str">
        <x:v>Sacramento Court Self-Help / Tenant Forms</x:v>
      </x:c>
      <x:c r="D81" t="str">
        <x:v>County-specific resource slot / local program lookup</x:v>
      </x:c>
      <x:c r="E81" t="str">
        <x:v>https://selfhelp.courts.ca.gov/eviction-tenant</x:v>
      </x:c>
      <x:c r="F81" t="str">
        <x:v>Research / verify</x:v>
      </x:c>
      <x:c r="G81" t="str">
        <x:v>https://selfhelp.courts.ca.gov/eviction-tenant</x:v>
      </x:c>
      <x:c r="H81" t="str">
        <x:v>Court self-help, tenant forms, and procedural resources; not a substitute for legal advice.</x:v>
      </x:c>
      <x:c r="I81" t="str">
        <x:v>Verify county court instructions</x:v>
      </x:c>
      <x:c r="J81" t="str">
        <x:v>https://selfhelp.courts.ca.gov/eviction-tenant</x:v>
      </x:c>
      <x:c r="K81" t="str">
        <x:v>2026-07-09</x:v>
      </x:c>
      <x:c r="L81" t="str">
        <x:v>High</x:v>
      </x:c>
      <x:c r="M81" t="str">
        <x:v>court,self-help,forms,eviction,tenant response</x:v>
      </x:c>
      <x:c r="N81" t="str">
        <x:v>Framework row. Verify the specific local office, phone, application page, and open/closed status before using in a customer report.</x:v>
      </x:c>
    </x:row>
    <x:row r="82" ht="48" customHeight="1">
      <x:c r="A82" t="str">
        <x:v>Contra Costa</x:v>
      </x:c>
      <x:c r="B82" t="str">
        <x:v>County Housing Department</x:v>
      </x:c>
      <x:c r="C82" t="str">
        <x:v>Contra Costa County Housing Department</x:v>
      </x:c>
      <x:c r="D82" t="str">
        <x:v>County-specific resource slot / local program lookup</x:v>
      </x:c>
      <x:c r="E82" t="str">
        <x:v>https://www.hcd.ca.gov/</x:v>
      </x:c>
      <x:c r="F82" t="str">
        <x:v>Research / verify</x:v>
      </x:c>
      <x:c r="G82" t="str">
        <x:v>https://www.hcd.ca.gov/</x:v>
      </x:c>
      <x:c r="H82" t="str">
        <x:v>County housing/community development office; first stop for local program status.</x:v>
      </x:c>
      <x:c r="I82" t="str">
        <x:v>Verify local program status</x:v>
      </x:c>
      <x:c r="J82" t="str">
        <x:v>https://www.hcd.ca.gov/</x:v>
      </x:c>
      <x:c r="K82" t="str">
        <x:v>2026-07-09</x:v>
      </x:c>
      <x:c r="L82" t="str">
        <x:v>Core</x:v>
      </x:c>
      <x:c r="M82" t="str">
        <x:v>county,housing,program status</x:v>
      </x:c>
      <x:c r="N82" t="str">
        <x:v>Framework row. Verify the specific local office, phone, application page, and open/closed status before using in a customer report.</x:v>
      </x:c>
    </x:row>
    <x:row r="83" ht="48" customHeight="1">
      <x:c r="A83" t="str">
        <x:v>Contra Costa</x:v>
      </x:c>
      <x:c r="B83" t="str">
        <x:v>Local Housing Authority</x:v>
      </x:c>
      <x:c r="C83" t="str">
        <x:v>Contra Costa Local Housing Authority</x:v>
      </x:c>
      <x:c r="D83" t="str">
        <x:v>County-specific resource slot / local program lookup</x:v>
      </x:c>
      <x:c r="E83" t="str">
        <x:v>https://www.hud.gov/states/california/renting</x:v>
      </x:c>
      <x:c r="F83" t="str">
        <x:v>Research / verify</x:v>
      </x:c>
      <x:c r="G83" t="str">
        <x:v>https://www.hud.gov/states/california/renting</x:v>
      </x:c>
      <x:c r="H83" t="str">
        <x:v>Public housing/voucher agency or local housing authority resource; may not provide emergency rent grants.</x:v>
      </x:c>
      <x:c r="I83" t="str">
        <x:v>Verify service area and waitlist/intake status</x:v>
      </x:c>
      <x:c r="J83" t="str">
        <x:v>https://www.hud.gov/states/california/renting</x:v>
      </x:c>
      <x:c r="K83" t="str">
        <x:v>2026-07-09</x:v>
      </x:c>
      <x:c r="L83" t="str">
        <x:v>Core</x:v>
      </x:c>
      <x:c r="M83" t="str">
        <x:v>housing authority,subsidy,public housing,voucher</x:v>
      </x:c>
      <x:c r="N83" t="str">
        <x:v>Framework row. Verify the specific local office, phone, application page, and open/closed status before using in a customer report.</x:v>
      </x:c>
    </x:row>
    <x:row r="84" ht="48" customHeight="1">
      <x:c r="A84" t="str">
        <x:v>Contra Costa</x:v>
      </x:c>
      <x:c r="B84" t="str">
        <x:v>Emergency Rental / Housing Assistance</x:v>
      </x:c>
      <x:c r="C84" t="str">
        <x:v>Contra Costa Emergency Rental / Housing Assistance</x:v>
      </x:c>
      <x:c r="D84" t="str">
        <x:v>County-specific resource slot / local program lookup</x:v>
      </x:c>
      <x:c r="E84" t="str">
        <x:v>https://www.211ca.org/</x:v>
      </x:c>
      <x:c r="F84" t="str">
        <x:v>Research / verify</x:v>
      </x:c>
      <x:c r="G84" t="str">
        <x:v>https://www.211ca.org/</x:v>
      </x:c>
      <x:c r="H84" t="str">
        <x:v>Direct rent, deposit, relocation, homeless prevention, or housing stabilization resource where available; funding can open/close.</x:v>
      </x:c>
      <x:c r="I84" t="str">
        <x:v>Funding/appointments may open and close</x:v>
      </x:c>
      <x:c r="J84" t="str">
        <x:v>https://www.211ca.org/</x:v>
      </x:c>
      <x:c r="K84" t="str">
        <x:v>2026-07-09</x:v>
      </x:c>
      <x:c r="L84" t="str">
        <x:v>High</x:v>
      </x:c>
      <x:c r="M84" t="str">
        <x:v>rent,eviction,emergency,homeless prevention</x:v>
      </x:c>
      <x:c r="N84" t="str">
        <x:v>Framework row. Verify the specific local office, phone, application page, and open/closed status before using in a customer report.</x:v>
      </x:c>
    </x:row>
    <x:row r="85" ht="48" customHeight="1">
      <x:c r="A85" t="str">
        <x:v>Contra Costa</x:v>
      </x:c>
      <x:c r="B85" t="str">
        <x:v>Legal Aid / Eviction Defense</x:v>
      </x:c>
      <x:c r="C85" t="str">
        <x:v>Contra Costa Legal Aid / Eviction Defense</x:v>
      </x:c>
      <x:c r="D85" t="str">
        <x:v>County-specific resource slot / local program lookup</x:v>
      </x:c>
      <x:c r="E85" t="str">
        <x:v>https://www.lawhelpca.org/</x:v>
      </x:c>
      <x:c r="F85" t="str">
        <x:v>Research / verify</x:v>
      </x:c>
      <x:c r="G85" t="str">
        <x:v>https://www.lawhelpca.org/</x:v>
      </x:c>
      <x:c r="H85" t="str">
        <x:v>Free/low-cost tenant legal help or eviction resources for eligible tenants.</x:v>
      </x:c>
      <x:c r="I85" t="str">
        <x:v>Verify intake requirements</x:v>
      </x:c>
      <x:c r="J85" t="str">
        <x:v>https://www.lawhelpca.org/</x:v>
      </x:c>
      <x:c r="K85" t="str">
        <x:v>2026-07-09</x:v>
      </x:c>
      <x:c r="L85" t="str">
        <x:v>High</x:v>
      </x:c>
      <x:c r="M85" t="str">
        <x:v>legal aid,eviction,court,tenant rights</x:v>
      </x:c>
      <x:c r="N85" t="str">
        <x:v>Framework row. Verify the specific local office, phone, application page, and open/closed status before using in a customer report.</x:v>
      </x:c>
    </x:row>
    <x:row r="86" ht="48" customHeight="1">
      <x:c r="A86" t="str">
        <x:v>Contra Costa</x:v>
      </x:c>
      <x:c r="B86" t="str">
        <x:v>United Way / 211</x:v>
      </x:c>
      <x:c r="C86" t="str">
        <x:v>Contra Costa United Way / 211</x:v>
      </x:c>
      <x:c r="D86" t="str">
        <x:v>County-specific resource slot / local program lookup</x:v>
      </x:c>
      <x:c r="E86" t="str">
        <x:v>https://www.211ca.org/</x:v>
      </x:c>
      <x:c r="F86" t="str">
        <x:v>Research / verify</x:v>
      </x:c>
      <x:c r="G86" t="str">
        <x:v>https://www.211ca.org/</x:v>
      </x:c>
      <x:c r="H86" t="str">
        <x:v>Referral hub for rent, utilities, food, shelter and emergency resources.</x:v>
      </x:c>
      <x:c r="I86" t="str">
        <x:v>Verify local referral availability</x:v>
      </x:c>
      <x:c r="J86" t="str">
        <x:v>https://www.211ca.org/</x:v>
      </x:c>
      <x:c r="K86" t="str">
        <x:v>2026-07-09</x:v>
      </x:c>
      <x:c r="L86" t="str">
        <x:v>High</x:v>
      </x:c>
      <x:c r="M86" t="str">
        <x:v>211,referral,rent,utilities</x:v>
      </x:c>
      <x:c r="N86" t="str">
        <x:v>Framework row. Verify the specific local office, phone, application page, and open/closed status before using in a customer report.</x:v>
      </x:c>
    </x:row>
    <x:row r="87" ht="48" customHeight="1">
      <x:c r="A87" t="str">
        <x:v>Contra Costa</x:v>
      </x:c>
      <x:c r="B87" t="str">
        <x:v>Salvation Army</x:v>
      </x:c>
      <x:c r="C87" t="str">
        <x:v>Contra Costa Salvation Army</x:v>
      </x:c>
      <x:c r="D87" t="str">
        <x:v>County-specific resource slot / local program lookup</x:v>
      </x:c>
      <x:c r="E87" t="str">
        <x:v>https://westernusa.salvationarmy.org/</x:v>
      </x:c>
      <x:c r="F87" t="str">
        <x:v>Research / verify</x:v>
      </x:c>
      <x:c r="G87" t="str">
        <x:v>https://westernusa.salvationarmy.org/</x:v>
      </x:c>
      <x:c r="H87" t="str">
        <x:v>Faith-based emergency aid resource; assistance varies by branch, county and funding cycle.</x:v>
      </x:c>
      <x:c r="I87" t="str">
        <x:v>Funding/appointments may open and close</x:v>
      </x:c>
      <x:c r="J87" t="str">
        <x:v>https://westernusa.salvationarmy.org/</x:v>
      </x:c>
      <x:c r="K87" t="str">
        <x:v>2026-07-09</x:v>
      </x:c>
      <x:c r="L87" t="str">
        <x:v>Medium</x:v>
      </x:c>
      <x:c r="M87" t="str">
        <x:v>salvation army,rent,utilities,emergency aid</x:v>
      </x:c>
      <x:c r="N87" t="str">
        <x:v>Framework row. Verify the specific local office, phone, application page, and open/closed status before using in a customer report.</x:v>
      </x:c>
    </x:row>
    <x:row r="88" ht="48" customHeight="1">
      <x:c r="A88" t="str">
        <x:v>Contra Costa</x:v>
      </x:c>
      <x:c r="B88" t="str">
        <x:v>Catholic Charities / Faith-Based Emergency Aid</x:v>
      </x:c>
      <x:c r="C88" t="str">
        <x:v>Contra Costa Catholic Charities / Faith-Based Emergency Aid</x:v>
      </x:c>
      <x:c r="D88" t="str">
        <x:v>County-specific resource slot / local program lookup</x:v>
      </x:c>
      <x:c r="E88" t="str">
        <x:v>https://www.catholiccharitiesusa.org/find-help/</x:v>
      </x:c>
      <x:c r="F88" t="str">
        <x:v>Research / verify</x:v>
      </x:c>
      <x:c r="G88" t="str">
        <x:v>https://www.catholiccharitiesusa.org/find-help/</x:v>
      </x:c>
      <x:c r="H88" t="str">
        <x:v>Faith-based rent, utility, family support, immigrant/refugee or emergency services resource where available.</x:v>
      </x:c>
      <x:c r="I88" t="str">
        <x:v>Funding/appointments may open and close</x:v>
      </x:c>
      <x:c r="J88" t="str">
        <x:v>https://www.catholiccharitiesusa.org/find-help/</x:v>
      </x:c>
      <x:c r="K88" t="str">
        <x:v>2026-07-09</x:v>
      </x:c>
      <x:c r="L88" t="str">
        <x:v>Medium</x:v>
      </x:c>
      <x:c r="M88" t="str">
        <x:v>catholic charities,faith based,rent,utilities</x:v>
      </x:c>
      <x:c r="N88" t="str">
        <x:v>Framework row. Verify the specific local office, phone, application page, and open/closed status before using in a customer report.</x:v>
      </x:c>
    </x:row>
    <x:row r="89" ht="48" customHeight="1">
      <x:c r="A89" t="str">
        <x:v>Contra Costa</x:v>
      </x:c>
      <x:c r="B89" t="str">
        <x:v>Community Action / Human Services</x:v>
      </x:c>
      <x:c r="C89" t="str">
        <x:v>Contra Costa Community Action / Human Services</x:v>
      </x:c>
      <x:c r="D89" t="str">
        <x:v>County-specific resource slot / local program lookup</x:v>
      </x:c>
      <x:c r="E89" t="str">
        <x:v>https://www.csd.ca.gov/Pages/FindServices.aspx</x:v>
      </x:c>
      <x:c r="F89" t="str">
        <x:v>Research / verify</x:v>
      </x:c>
      <x:c r="G89" t="str">
        <x:v>https://www.csd.ca.gov/Pages/FindServices.aspx</x:v>
      </x:c>
      <x:c r="H89" t="str">
        <x:v>Community action or human services agency for household stabilization, utilities, and possible rent support.</x:v>
      </x:c>
      <x:c r="I89" t="str">
        <x:v>Verify eligibility and county coverage</x:v>
      </x:c>
      <x:c r="J89" t="str">
        <x:v>https://www.csd.ca.gov/Pages/FindServices.aspx</x:v>
      </x:c>
      <x:c r="K89" t="str">
        <x:v>2026-07-09</x:v>
      </x:c>
      <x:c r="L89" t="str">
        <x:v>Medium</x:v>
      </x:c>
      <x:c r="M89" t="str">
        <x:v>community action,human services,liheap,rent,utilities</x:v>
      </x:c>
      <x:c r="N89" t="str">
        <x:v>Framework row. Verify the specific local office, phone, application page, and open/closed status before using in a customer report.</x:v>
      </x:c>
    </x:row>
    <x:row r="90" ht="48" customHeight="1">
      <x:c r="A90" t="str">
        <x:v>Contra Costa</x:v>
      </x:c>
      <x:c r="B90" t="str">
        <x:v>HUD-Approved Housing Counseling</x:v>
      </x:c>
      <x:c r="C90" t="str">
        <x:v>Contra Costa HUD-Approved Housing Counseling</x:v>
      </x:c>
      <x:c r="D90" t="str">
        <x:v>County-specific resource slot / local program lookup</x:v>
      </x:c>
      <x:c r="E90" t="str">
        <x:v>https://www.consumerfinance.gov/find-a-housing-counselor/</x:v>
      </x:c>
      <x:c r="F90" t="str">
        <x:v>Research / verify</x:v>
      </x:c>
      <x:c r="G90" t="str">
        <x:v>https://www.consumerfinance.gov/find-a-housing-counselor/</x:v>
      </x:c>
      <x:c r="H90" t="str">
        <x:v>HUD-approved counseling pathway for housing stability, budgeting, rental counseling or referrals.</x:v>
      </x:c>
      <x:c r="I90" t="str">
        <x:v>Use HUD/CFPB locator to verify provider</x:v>
      </x:c>
      <x:c r="J90" t="str">
        <x:v>https://www.consumerfinance.gov/find-a-housing-counselor/</x:v>
      </x:c>
      <x:c r="K90" t="str">
        <x:v>2026-07-09</x:v>
      </x:c>
      <x:c r="L90" t="str">
        <x:v>Medium</x:v>
      </x:c>
      <x:c r="M90" t="str">
        <x:v>housing counseling,hud,counselor,tenant support</x:v>
      </x:c>
      <x:c r="N90" t="str">
        <x:v>Framework row. Verify the specific local office, phone, application page, and open/closed status before using in a customer report.</x:v>
      </x:c>
    </x:row>
    <x:row r="91" ht="48" customHeight="1">
      <x:c r="A91" t="str">
        <x:v>Contra Costa</x:v>
      </x:c>
      <x:c r="B91" t="str">
        <x:v>Court Self-Help / Tenant Forms</x:v>
      </x:c>
      <x:c r="C91" t="str">
        <x:v>Contra Costa Court Self-Help / Tenant Forms</x:v>
      </x:c>
      <x:c r="D91" t="str">
        <x:v>County-specific resource slot / local program lookup</x:v>
      </x:c>
      <x:c r="E91" t="str">
        <x:v>https://selfhelp.courts.ca.gov/eviction-tenant</x:v>
      </x:c>
      <x:c r="F91" t="str">
        <x:v>Research / verify</x:v>
      </x:c>
      <x:c r="G91" t="str">
        <x:v>https://selfhelp.courts.ca.gov/eviction-tenant</x:v>
      </x:c>
      <x:c r="H91" t="str">
        <x:v>Court self-help, tenant forms, and procedural resources; not a substitute for legal advice.</x:v>
      </x:c>
      <x:c r="I91" t="str">
        <x:v>Verify county court instructions</x:v>
      </x:c>
      <x:c r="J91" t="str">
        <x:v>https://selfhelp.courts.ca.gov/eviction-tenant</x:v>
      </x:c>
      <x:c r="K91" t="str">
        <x:v>2026-07-09</x:v>
      </x:c>
      <x:c r="L91" t="str">
        <x:v>High</x:v>
      </x:c>
      <x:c r="M91" t="str">
        <x:v>court,self-help,forms,eviction,tenant response</x:v>
      </x:c>
      <x:c r="N91" t="str">
        <x:v>Framework row. Verify the specific local office, phone, application page, and open/closed status before using in a customer report.</x:v>
      </x:c>
    </x:row>
    <x:row r="92" ht="48" customHeight="1">
      <x:c r="A92" t="str">
        <x:v>Fresno</x:v>
      </x:c>
      <x:c r="B92" t="str">
        <x:v>County Housing Department</x:v>
      </x:c>
      <x:c r="C92" t="str">
        <x:v>Fresno County Housing Department</x:v>
      </x:c>
      <x:c r="D92" t="str">
        <x:v>County-specific resource slot / local program lookup</x:v>
      </x:c>
      <x:c r="E92" t="str">
        <x:v>https://www.hcd.ca.gov/</x:v>
      </x:c>
      <x:c r="F92" t="str">
        <x:v>Research / verify</x:v>
      </x:c>
      <x:c r="G92" t="str">
        <x:v>https://www.hcd.ca.gov/</x:v>
      </x:c>
      <x:c r="H92" t="str">
        <x:v>County housing/community development office; first stop for local program status.</x:v>
      </x:c>
      <x:c r="I92" t="str">
        <x:v>Verify local program status</x:v>
      </x:c>
      <x:c r="J92" t="str">
        <x:v>https://www.hcd.ca.gov/</x:v>
      </x:c>
      <x:c r="K92" t="str">
        <x:v>2026-07-09</x:v>
      </x:c>
      <x:c r="L92" t="str">
        <x:v>Core</x:v>
      </x:c>
      <x:c r="M92" t="str">
        <x:v>county,housing,program status</x:v>
      </x:c>
      <x:c r="N92" t="str">
        <x:v>Framework row. Verify the specific local office, phone, application page, and open/closed status before using in a customer report.</x:v>
      </x:c>
    </x:row>
    <x:row r="93" ht="48" customHeight="1">
      <x:c r="A93" t="str">
        <x:v>Fresno</x:v>
      </x:c>
      <x:c r="B93" t="str">
        <x:v>Local Housing Authority</x:v>
      </x:c>
      <x:c r="C93" t="str">
        <x:v>Fresno Local Housing Authority</x:v>
      </x:c>
      <x:c r="D93" t="str">
        <x:v>County-specific resource slot / local program lookup</x:v>
      </x:c>
      <x:c r="E93" t="str">
        <x:v>https://www.hud.gov/states/california/renting</x:v>
      </x:c>
      <x:c r="F93" t="str">
        <x:v>Research / verify</x:v>
      </x:c>
      <x:c r="G93" t="str">
        <x:v>https://www.hud.gov/states/california/renting</x:v>
      </x:c>
      <x:c r="H93" t="str">
        <x:v>Public housing/voucher agency or local housing authority resource; may not provide emergency rent grants.</x:v>
      </x:c>
      <x:c r="I93" t="str">
        <x:v>Verify service area and waitlist/intake status</x:v>
      </x:c>
      <x:c r="J93" t="str">
        <x:v>https://www.hud.gov/states/california/renting</x:v>
      </x:c>
      <x:c r="K93" t="str">
        <x:v>2026-07-09</x:v>
      </x:c>
      <x:c r="L93" t="str">
        <x:v>Core</x:v>
      </x:c>
      <x:c r="M93" t="str">
        <x:v>housing authority,subsidy,public housing,voucher</x:v>
      </x:c>
      <x:c r="N93" t="str">
        <x:v>Framework row. Verify the specific local office, phone, application page, and open/closed status before using in a customer report.</x:v>
      </x:c>
    </x:row>
    <x:row r="94" ht="48" customHeight="1">
      <x:c r="A94" t="str">
        <x:v>Fresno</x:v>
      </x:c>
      <x:c r="B94" t="str">
        <x:v>Emergency Rental / Housing Assistance</x:v>
      </x:c>
      <x:c r="C94" t="str">
        <x:v>Fresno Emergency Rental / Housing Assistance</x:v>
      </x:c>
      <x:c r="D94" t="str">
        <x:v>County-specific resource slot / local program lookup</x:v>
      </x:c>
      <x:c r="E94" t="str">
        <x:v>https://www.211ca.org/</x:v>
      </x:c>
      <x:c r="F94" t="str">
        <x:v>Research / verify</x:v>
      </x:c>
      <x:c r="G94" t="str">
        <x:v>https://www.211ca.org/</x:v>
      </x:c>
      <x:c r="H94" t="str">
        <x:v>Direct rent, deposit, relocation, homeless prevention, or housing stabilization resource where available; funding can open/close.</x:v>
      </x:c>
      <x:c r="I94" t="str">
        <x:v>Funding/appointments may open and close</x:v>
      </x:c>
      <x:c r="J94" t="str">
        <x:v>https://www.211ca.org/</x:v>
      </x:c>
      <x:c r="K94" t="str">
        <x:v>2026-07-09</x:v>
      </x:c>
      <x:c r="L94" t="str">
        <x:v>High</x:v>
      </x:c>
      <x:c r="M94" t="str">
        <x:v>rent,eviction,emergency,homeless prevention</x:v>
      </x:c>
      <x:c r="N94" t="str">
        <x:v>Framework row. Verify the specific local office, phone, application page, and open/closed status before using in a customer report.</x:v>
      </x:c>
    </x:row>
    <x:row r="95" ht="48" customHeight="1">
      <x:c r="A95" t="str">
        <x:v>Fresno</x:v>
      </x:c>
      <x:c r="B95" t="str">
        <x:v>Legal Aid / Eviction Defense</x:v>
      </x:c>
      <x:c r="C95" t="str">
        <x:v>Fresno Legal Aid / Eviction Defense</x:v>
      </x:c>
      <x:c r="D95" t="str">
        <x:v>County-specific resource slot / local program lookup</x:v>
      </x:c>
      <x:c r="E95" t="str">
        <x:v>https://www.lawhelpca.org/</x:v>
      </x:c>
      <x:c r="F95" t="str">
        <x:v>Research / verify</x:v>
      </x:c>
      <x:c r="G95" t="str">
        <x:v>https://www.lawhelpca.org/</x:v>
      </x:c>
      <x:c r="H95" t="str">
        <x:v>Free/low-cost tenant legal help or eviction resources for eligible tenants.</x:v>
      </x:c>
      <x:c r="I95" t="str">
        <x:v>Verify intake requirements</x:v>
      </x:c>
      <x:c r="J95" t="str">
        <x:v>https://www.lawhelpca.org/</x:v>
      </x:c>
      <x:c r="K95" t="str">
        <x:v>2026-07-09</x:v>
      </x:c>
      <x:c r="L95" t="str">
        <x:v>High</x:v>
      </x:c>
      <x:c r="M95" t="str">
        <x:v>legal aid,eviction,court,tenant rights</x:v>
      </x:c>
      <x:c r="N95" t="str">
        <x:v>Framework row. Verify the specific local office, phone, application page, and open/closed status before using in a customer report.</x:v>
      </x:c>
    </x:row>
    <x:row r="96" ht="48" customHeight="1">
      <x:c r="A96" t="str">
        <x:v>Fresno</x:v>
      </x:c>
      <x:c r="B96" t="str">
        <x:v>United Way / 211</x:v>
      </x:c>
      <x:c r="C96" t="str">
        <x:v>Fresno United Way / 211</x:v>
      </x:c>
      <x:c r="D96" t="str">
        <x:v>County-specific resource slot / local program lookup</x:v>
      </x:c>
      <x:c r="E96" t="str">
        <x:v>https://www.211ca.org/</x:v>
      </x:c>
      <x:c r="F96" t="str">
        <x:v>Research / verify</x:v>
      </x:c>
      <x:c r="G96" t="str">
        <x:v>https://www.211ca.org/</x:v>
      </x:c>
      <x:c r="H96" t="str">
        <x:v>Referral hub for rent, utilities, food, shelter and emergency resources.</x:v>
      </x:c>
      <x:c r="I96" t="str">
        <x:v>Verify local referral availability</x:v>
      </x:c>
      <x:c r="J96" t="str">
        <x:v>https://www.211ca.org/</x:v>
      </x:c>
      <x:c r="K96" t="str">
        <x:v>2026-07-09</x:v>
      </x:c>
      <x:c r="L96" t="str">
        <x:v>High</x:v>
      </x:c>
      <x:c r="M96" t="str">
        <x:v>211,referral,rent,utilities</x:v>
      </x:c>
      <x:c r="N96" t="str">
        <x:v>Framework row. Verify the specific local office, phone, application page, and open/closed status before using in a customer report.</x:v>
      </x:c>
    </x:row>
    <x:row r="97" ht="48" customHeight="1">
      <x:c r="A97" t="str">
        <x:v>Fresno</x:v>
      </x:c>
      <x:c r="B97" t="str">
        <x:v>Salvation Army</x:v>
      </x:c>
      <x:c r="C97" t="str">
        <x:v>Fresno Salvation Army</x:v>
      </x:c>
      <x:c r="D97" t="str">
        <x:v>County-specific resource slot / local program lookup</x:v>
      </x:c>
      <x:c r="E97" t="str">
        <x:v>https://westernusa.salvationarmy.org/</x:v>
      </x:c>
      <x:c r="F97" t="str">
        <x:v>Research / verify</x:v>
      </x:c>
      <x:c r="G97" t="str">
        <x:v>https://westernusa.salvationarmy.org/</x:v>
      </x:c>
      <x:c r="H97" t="str">
        <x:v>Faith-based emergency aid resource; assistance varies by branch, county and funding cycle.</x:v>
      </x:c>
      <x:c r="I97" t="str">
        <x:v>Funding/appointments may open and close</x:v>
      </x:c>
      <x:c r="J97" t="str">
        <x:v>https://westernusa.salvationarmy.org/</x:v>
      </x:c>
      <x:c r="K97" t="str">
        <x:v>2026-07-09</x:v>
      </x:c>
      <x:c r="L97" t="str">
        <x:v>Medium</x:v>
      </x:c>
      <x:c r="M97" t="str">
        <x:v>salvation army,rent,utilities,emergency aid</x:v>
      </x:c>
      <x:c r="N97" t="str">
        <x:v>Framework row. Verify the specific local office, phone, application page, and open/closed status before using in a customer report.</x:v>
      </x:c>
    </x:row>
    <x:row r="98" ht="48" customHeight="1">
      <x:c r="A98" t="str">
        <x:v>Fresno</x:v>
      </x:c>
      <x:c r="B98" t="str">
        <x:v>Catholic Charities / Faith-Based Emergency Aid</x:v>
      </x:c>
      <x:c r="C98" t="str">
        <x:v>Fresno Catholic Charities / Faith-Based Emergency Aid</x:v>
      </x:c>
      <x:c r="D98" t="str">
        <x:v>County-specific resource slot / local program lookup</x:v>
      </x:c>
      <x:c r="E98" t="str">
        <x:v>https://www.catholiccharitiesusa.org/find-help/</x:v>
      </x:c>
      <x:c r="F98" t="str">
        <x:v>Research / verify</x:v>
      </x:c>
      <x:c r="G98" t="str">
        <x:v>https://www.catholiccharitiesusa.org/find-help/</x:v>
      </x:c>
      <x:c r="H98" t="str">
        <x:v>Faith-based rent, utility, family support, immigrant/refugee or emergency services resource where available.</x:v>
      </x:c>
      <x:c r="I98" t="str">
        <x:v>Funding/appointments may open and close</x:v>
      </x:c>
      <x:c r="J98" t="str">
        <x:v>https://www.catholiccharitiesusa.org/find-help/</x:v>
      </x:c>
      <x:c r="K98" t="str">
        <x:v>2026-07-09</x:v>
      </x:c>
      <x:c r="L98" t="str">
        <x:v>Medium</x:v>
      </x:c>
      <x:c r="M98" t="str">
        <x:v>catholic charities,faith based,rent,utilities</x:v>
      </x:c>
      <x:c r="N98" t="str">
        <x:v>Framework row. Verify the specific local office, phone, application page, and open/closed status before using in a customer report.</x:v>
      </x:c>
    </x:row>
    <x:row r="99" ht="48" customHeight="1">
      <x:c r="A99" t="str">
        <x:v>Fresno</x:v>
      </x:c>
      <x:c r="B99" t="str">
        <x:v>Community Action / Human Services</x:v>
      </x:c>
      <x:c r="C99" t="str">
        <x:v>Fresno Community Action / Human Services</x:v>
      </x:c>
      <x:c r="D99" t="str">
        <x:v>County-specific resource slot / local program lookup</x:v>
      </x:c>
      <x:c r="E99" t="str">
        <x:v>https://www.csd.ca.gov/Pages/FindServices.aspx</x:v>
      </x:c>
      <x:c r="F99" t="str">
        <x:v>Research / verify</x:v>
      </x:c>
      <x:c r="G99" t="str">
        <x:v>https://www.csd.ca.gov/Pages/FindServices.aspx</x:v>
      </x:c>
      <x:c r="H99" t="str">
        <x:v>Community action or human services agency for household stabilization, utilities, and possible rent support.</x:v>
      </x:c>
      <x:c r="I99" t="str">
        <x:v>Verify eligibility and county coverage</x:v>
      </x:c>
      <x:c r="J99" t="str">
        <x:v>https://www.csd.ca.gov/Pages/FindServices.aspx</x:v>
      </x:c>
      <x:c r="K99" t="str">
        <x:v>2026-07-09</x:v>
      </x:c>
      <x:c r="L99" t="str">
        <x:v>Medium</x:v>
      </x:c>
      <x:c r="M99" t="str">
        <x:v>community action,human services,liheap,rent,utilities</x:v>
      </x:c>
      <x:c r="N99" t="str">
        <x:v>Framework row. Verify the specific local office, phone, application page, and open/closed status before using in a customer report.</x:v>
      </x:c>
    </x:row>
    <x:row r="100" ht="48" customHeight="1">
      <x:c r="A100" t="str">
        <x:v>Fresno</x:v>
      </x:c>
      <x:c r="B100" t="str">
        <x:v>HUD-Approved Housing Counseling</x:v>
      </x:c>
      <x:c r="C100" t="str">
        <x:v>Fresno HUD-Approved Housing Counseling</x:v>
      </x:c>
      <x:c r="D100" t="str">
        <x:v>County-specific resource slot / local program lookup</x:v>
      </x:c>
      <x:c r="E100" t="str">
        <x:v>https://www.consumerfinance.gov/find-a-housing-counselor/</x:v>
      </x:c>
      <x:c r="F100" t="str">
        <x:v>Research / verify</x:v>
      </x:c>
      <x:c r="G100" t="str">
        <x:v>https://www.consumerfinance.gov/find-a-housing-counselor/</x:v>
      </x:c>
      <x:c r="H100" t="str">
        <x:v>HUD-approved counseling pathway for housing stability, budgeting, rental counseling or referrals.</x:v>
      </x:c>
      <x:c r="I100" t="str">
        <x:v>Use HUD/CFPB locator to verify provider</x:v>
      </x:c>
      <x:c r="J100" t="str">
        <x:v>https://www.consumerfinance.gov/find-a-housing-counselor/</x:v>
      </x:c>
      <x:c r="K100" t="str">
        <x:v>2026-07-09</x:v>
      </x:c>
      <x:c r="L100" t="str">
        <x:v>Medium</x:v>
      </x:c>
      <x:c r="M100" t="str">
        <x:v>housing counseling,hud,counselor,tenant support</x:v>
      </x:c>
      <x:c r="N100" t="str">
        <x:v>Framework row. Verify the specific local office, phone, application page, and open/closed status before using in a customer report.</x:v>
      </x:c>
    </x:row>
    <x:row r="101" ht="48" customHeight="1">
      <x:c r="A101" t="str">
        <x:v>Fresno</x:v>
      </x:c>
      <x:c r="B101" t="str">
        <x:v>Court Self-Help / Tenant Forms</x:v>
      </x:c>
      <x:c r="C101" t="str">
        <x:v>Fresno Court Self-Help / Tenant Forms</x:v>
      </x:c>
      <x:c r="D101" t="str">
        <x:v>County-specific resource slot / local program lookup</x:v>
      </x:c>
      <x:c r="E101" t="str">
        <x:v>https://selfhelp.courts.ca.gov/eviction-tenant</x:v>
      </x:c>
      <x:c r="F101" t="str">
        <x:v>Research / verify</x:v>
      </x:c>
      <x:c r="G101" t="str">
        <x:v>https://selfhelp.courts.ca.gov/eviction-tenant</x:v>
      </x:c>
      <x:c r="H101" t="str">
        <x:v>Court self-help, tenant forms, and procedural resources; not a substitute for legal advice.</x:v>
      </x:c>
      <x:c r="I101" t="str">
        <x:v>Verify county court instructions</x:v>
      </x:c>
      <x:c r="J101" t="str">
        <x:v>https://selfhelp.courts.ca.gov/eviction-tenant</x:v>
      </x:c>
      <x:c r="K101" t="str">
        <x:v>2026-07-09</x:v>
      </x:c>
      <x:c r="L101" t="str">
        <x:v>High</x:v>
      </x:c>
      <x:c r="M101" t="str">
        <x:v>court,self-help,forms,eviction,tenant response</x:v>
      </x:c>
      <x:c r="N101" t="str">
        <x:v>Framework row. Verify the specific local office, phone, application page, and open/closed status before using in a customer report.</x:v>
      </x:c>
    </x:row>
    <x:row r="102" ht="48" customHeight="1">
      <x:c r="A102" t="str">
        <x:v>Kern</x:v>
      </x:c>
      <x:c r="B102" t="str">
        <x:v>County Housing Department</x:v>
      </x:c>
      <x:c r="C102" t="str">
        <x:v>Kern County Housing Department</x:v>
      </x:c>
      <x:c r="D102" t="str">
        <x:v>County-specific resource slot / local program lookup</x:v>
      </x:c>
      <x:c r="E102" t="str">
        <x:v>https://www.hcd.ca.gov/</x:v>
      </x:c>
      <x:c r="F102" t="str">
        <x:v>Research / verify</x:v>
      </x:c>
      <x:c r="G102" t="str">
        <x:v>https://www.hcd.ca.gov/</x:v>
      </x:c>
      <x:c r="H102" t="str">
        <x:v>County housing/community development office; first stop for local program status.</x:v>
      </x:c>
      <x:c r="I102" t="str">
        <x:v>Verify local program status</x:v>
      </x:c>
      <x:c r="J102" t="str">
        <x:v>https://www.hcd.ca.gov/</x:v>
      </x:c>
      <x:c r="K102" t="str">
        <x:v>2026-07-09</x:v>
      </x:c>
      <x:c r="L102" t="str">
        <x:v>Core</x:v>
      </x:c>
      <x:c r="M102" t="str">
        <x:v>county,housing,program status</x:v>
      </x:c>
      <x:c r="N102" t="str">
        <x:v>Framework row. Verify the specific local office, phone, application page, and open/closed status before using in a customer report.</x:v>
      </x:c>
    </x:row>
    <x:row r="103" ht="48" customHeight="1">
      <x:c r="A103" t="str">
        <x:v>Kern</x:v>
      </x:c>
      <x:c r="B103" t="str">
        <x:v>Local Housing Authority</x:v>
      </x:c>
      <x:c r="C103" t="str">
        <x:v>Kern Local Housing Authority</x:v>
      </x:c>
      <x:c r="D103" t="str">
        <x:v>County-specific resource slot / local program lookup</x:v>
      </x:c>
      <x:c r="E103" t="str">
        <x:v>https://www.hud.gov/states/california/renting</x:v>
      </x:c>
      <x:c r="F103" t="str">
        <x:v>Research / verify</x:v>
      </x:c>
      <x:c r="G103" t="str">
        <x:v>https://www.hud.gov/states/california/renting</x:v>
      </x:c>
      <x:c r="H103" t="str">
        <x:v>Public housing/voucher agency or local housing authority resource; may not provide emergency rent grants.</x:v>
      </x:c>
      <x:c r="I103" t="str">
        <x:v>Verify service area and waitlist/intake status</x:v>
      </x:c>
      <x:c r="J103" t="str">
        <x:v>https://www.hud.gov/states/california/renting</x:v>
      </x:c>
      <x:c r="K103" t="str">
        <x:v>2026-07-09</x:v>
      </x:c>
      <x:c r="L103" t="str">
        <x:v>Core</x:v>
      </x:c>
      <x:c r="M103" t="str">
        <x:v>housing authority,subsidy,public housing,voucher</x:v>
      </x:c>
      <x:c r="N103" t="str">
        <x:v>Framework row. Verify the specific local office, phone, application page, and open/closed status before using in a customer report.</x:v>
      </x:c>
    </x:row>
    <x:row r="104" ht="48" customHeight="1">
      <x:c r="A104" t="str">
        <x:v>Kern</x:v>
      </x:c>
      <x:c r="B104" t="str">
        <x:v>Emergency Rental / Housing Assistance</x:v>
      </x:c>
      <x:c r="C104" t="str">
        <x:v>Kern Emergency Rental / Housing Assistance</x:v>
      </x:c>
      <x:c r="D104" t="str">
        <x:v>County-specific resource slot / local program lookup</x:v>
      </x:c>
      <x:c r="E104" t="str">
        <x:v>https://www.211ca.org/</x:v>
      </x:c>
      <x:c r="F104" t="str">
        <x:v>Research / verify</x:v>
      </x:c>
      <x:c r="G104" t="str">
        <x:v>https://www.211ca.org/</x:v>
      </x:c>
      <x:c r="H104" t="str">
        <x:v>Direct rent, deposit, relocation, homeless prevention, or housing stabilization resource where available; funding can open/close.</x:v>
      </x:c>
      <x:c r="I104" t="str">
        <x:v>Funding/appointments may open and close</x:v>
      </x:c>
      <x:c r="J104" t="str">
        <x:v>https://www.211ca.org/</x:v>
      </x:c>
      <x:c r="K104" t="str">
        <x:v>2026-07-09</x:v>
      </x:c>
      <x:c r="L104" t="str">
        <x:v>High</x:v>
      </x:c>
      <x:c r="M104" t="str">
        <x:v>rent,eviction,emergency,homeless prevention</x:v>
      </x:c>
      <x:c r="N104" t="str">
        <x:v>Framework row. Verify the specific local office, phone, application page, and open/closed status before using in a customer report.</x:v>
      </x:c>
    </x:row>
    <x:row r="105" ht="48" customHeight="1">
      <x:c r="A105" t="str">
        <x:v>Kern</x:v>
      </x:c>
      <x:c r="B105" t="str">
        <x:v>Legal Aid / Eviction Defense</x:v>
      </x:c>
      <x:c r="C105" t="str">
        <x:v>Kern Legal Aid / Eviction Defense</x:v>
      </x:c>
      <x:c r="D105" t="str">
        <x:v>County-specific resource slot / local program lookup</x:v>
      </x:c>
      <x:c r="E105" t="str">
        <x:v>https://www.lawhelpca.org/</x:v>
      </x:c>
      <x:c r="F105" t="str">
        <x:v>Research / verify</x:v>
      </x:c>
      <x:c r="G105" t="str">
        <x:v>https://www.lawhelpca.org/</x:v>
      </x:c>
      <x:c r="H105" t="str">
        <x:v>Free/low-cost tenant legal help or eviction resources for eligible tenants.</x:v>
      </x:c>
      <x:c r="I105" t="str">
        <x:v>Verify intake requirements</x:v>
      </x:c>
      <x:c r="J105" t="str">
        <x:v>https://www.lawhelpca.org/</x:v>
      </x:c>
      <x:c r="K105" t="str">
        <x:v>2026-07-09</x:v>
      </x:c>
      <x:c r="L105" t="str">
        <x:v>High</x:v>
      </x:c>
      <x:c r="M105" t="str">
        <x:v>legal aid,eviction,court,tenant rights</x:v>
      </x:c>
      <x:c r="N105" t="str">
        <x:v>Framework row. Verify the specific local office, phone, application page, and open/closed status before using in a customer report.</x:v>
      </x:c>
    </x:row>
    <x:row r="106" ht="48" customHeight="1">
      <x:c r="A106" t="str">
        <x:v>Kern</x:v>
      </x:c>
      <x:c r="B106" t="str">
        <x:v>United Way / 211</x:v>
      </x:c>
      <x:c r="C106" t="str">
        <x:v>Kern United Way / 211</x:v>
      </x:c>
      <x:c r="D106" t="str">
        <x:v>County-specific resource slot / local program lookup</x:v>
      </x:c>
      <x:c r="E106" t="str">
        <x:v>https://www.211ca.org/</x:v>
      </x:c>
      <x:c r="F106" t="str">
        <x:v>Research / verify</x:v>
      </x:c>
      <x:c r="G106" t="str">
        <x:v>https://www.211ca.org/</x:v>
      </x:c>
      <x:c r="H106" t="str">
        <x:v>Referral hub for rent, utilities, food, shelter and emergency resources.</x:v>
      </x:c>
      <x:c r="I106" t="str">
        <x:v>Verify local referral availability</x:v>
      </x:c>
      <x:c r="J106" t="str">
        <x:v>https://www.211ca.org/</x:v>
      </x:c>
      <x:c r="K106" t="str">
        <x:v>2026-07-09</x:v>
      </x:c>
      <x:c r="L106" t="str">
        <x:v>High</x:v>
      </x:c>
      <x:c r="M106" t="str">
        <x:v>211,referral,rent,utilities</x:v>
      </x:c>
      <x:c r="N106" t="str">
        <x:v>Framework row. Verify the specific local office, phone, application page, and open/closed status before using in a customer report.</x:v>
      </x:c>
    </x:row>
    <x:row r="107" ht="48" customHeight="1">
      <x:c r="A107" t="str">
        <x:v>Kern</x:v>
      </x:c>
      <x:c r="B107" t="str">
        <x:v>Salvation Army</x:v>
      </x:c>
      <x:c r="C107" t="str">
        <x:v>Kern Salvation Army</x:v>
      </x:c>
      <x:c r="D107" t="str">
        <x:v>County-specific resource slot / local program lookup</x:v>
      </x:c>
      <x:c r="E107" t="str">
        <x:v>https://westernusa.salvationarmy.org/</x:v>
      </x:c>
      <x:c r="F107" t="str">
        <x:v>Research / verify</x:v>
      </x:c>
      <x:c r="G107" t="str">
        <x:v>https://westernusa.salvationarmy.org/</x:v>
      </x:c>
      <x:c r="H107" t="str">
        <x:v>Faith-based emergency aid resource; assistance varies by branch, county and funding cycle.</x:v>
      </x:c>
      <x:c r="I107" t="str">
        <x:v>Funding/appointments may open and close</x:v>
      </x:c>
      <x:c r="J107" t="str">
        <x:v>https://westernusa.salvationarmy.org/</x:v>
      </x:c>
      <x:c r="K107" t="str">
        <x:v>2026-07-09</x:v>
      </x:c>
      <x:c r="L107" t="str">
        <x:v>Medium</x:v>
      </x:c>
      <x:c r="M107" t="str">
        <x:v>salvation army,rent,utilities,emergency aid</x:v>
      </x:c>
      <x:c r="N107" t="str">
        <x:v>Framework row. Verify the specific local office, phone, application page, and open/closed status before using in a customer report.</x:v>
      </x:c>
    </x:row>
    <x:row r="108" ht="48" customHeight="1">
      <x:c r="A108" t="str">
        <x:v>Kern</x:v>
      </x:c>
      <x:c r="B108" t="str">
        <x:v>Catholic Charities / Faith-Based Emergency Aid</x:v>
      </x:c>
      <x:c r="C108" t="str">
        <x:v>Kern Catholic Charities / Faith-Based Emergency Aid</x:v>
      </x:c>
      <x:c r="D108" t="str">
        <x:v>County-specific resource slot / local program lookup</x:v>
      </x:c>
      <x:c r="E108" t="str">
        <x:v>https://www.catholiccharitiesusa.org/find-help/</x:v>
      </x:c>
      <x:c r="F108" t="str">
        <x:v>Research / verify</x:v>
      </x:c>
      <x:c r="G108" t="str">
        <x:v>https://www.catholiccharitiesusa.org/find-help/</x:v>
      </x:c>
      <x:c r="H108" t="str">
        <x:v>Faith-based rent, utility, family support, immigrant/refugee or emergency services resource where available.</x:v>
      </x:c>
      <x:c r="I108" t="str">
        <x:v>Funding/appointments may open and close</x:v>
      </x:c>
      <x:c r="J108" t="str">
        <x:v>https://www.catholiccharitiesusa.org/find-help/</x:v>
      </x:c>
      <x:c r="K108" t="str">
        <x:v>2026-07-09</x:v>
      </x:c>
      <x:c r="L108" t="str">
        <x:v>Medium</x:v>
      </x:c>
      <x:c r="M108" t="str">
        <x:v>catholic charities,faith based,rent,utilities</x:v>
      </x:c>
      <x:c r="N108" t="str">
        <x:v>Framework row. Verify the specific local office, phone, application page, and open/closed status before using in a customer report.</x:v>
      </x:c>
    </x:row>
    <x:row r="109" ht="48" customHeight="1">
      <x:c r="A109" t="str">
        <x:v>Kern</x:v>
      </x:c>
      <x:c r="B109" t="str">
        <x:v>Community Action / Human Services</x:v>
      </x:c>
      <x:c r="C109" t="str">
        <x:v>Kern Community Action / Human Services</x:v>
      </x:c>
      <x:c r="D109" t="str">
        <x:v>County-specific resource slot / local program lookup</x:v>
      </x:c>
      <x:c r="E109" t="str">
        <x:v>https://www.csd.ca.gov/Pages/FindServices.aspx</x:v>
      </x:c>
      <x:c r="F109" t="str">
        <x:v>Research / verify</x:v>
      </x:c>
      <x:c r="G109" t="str">
        <x:v>https://www.csd.ca.gov/Pages/FindServices.aspx</x:v>
      </x:c>
      <x:c r="H109" t="str">
        <x:v>Community action or human services agency for household stabilization, utilities, and possible rent support.</x:v>
      </x:c>
      <x:c r="I109" t="str">
        <x:v>Verify eligibility and county coverage</x:v>
      </x:c>
      <x:c r="J109" t="str">
        <x:v>https://www.csd.ca.gov/Pages/FindServices.aspx</x:v>
      </x:c>
      <x:c r="K109" t="str">
        <x:v>2026-07-09</x:v>
      </x:c>
      <x:c r="L109" t="str">
        <x:v>Medium</x:v>
      </x:c>
      <x:c r="M109" t="str">
        <x:v>community action,human services,liheap,rent,utilities</x:v>
      </x:c>
      <x:c r="N109" t="str">
        <x:v>Framework row. Verify the specific local office, phone, application page, and open/closed status before using in a customer report.</x:v>
      </x:c>
    </x:row>
    <x:row r="110" ht="48" customHeight="1">
      <x:c r="A110" t="str">
        <x:v>Kern</x:v>
      </x:c>
      <x:c r="B110" t="str">
        <x:v>HUD-Approved Housing Counseling</x:v>
      </x:c>
      <x:c r="C110" t="str">
        <x:v>Kern HUD-Approved Housing Counseling</x:v>
      </x:c>
      <x:c r="D110" t="str">
        <x:v>County-specific resource slot / local program lookup</x:v>
      </x:c>
      <x:c r="E110" t="str">
        <x:v>https://www.consumerfinance.gov/find-a-housing-counselor/</x:v>
      </x:c>
      <x:c r="F110" t="str">
        <x:v>Research / verify</x:v>
      </x:c>
      <x:c r="G110" t="str">
        <x:v>https://www.consumerfinance.gov/find-a-housing-counselor/</x:v>
      </x:c>
      <x:c r="H110" t="str">
        <x:v>HUD-approved counseling pathway for housing stability, budgeting, rental counseling or referrals.</x:v>
      </x:c>
      <x:c r="I110" t="str">
        <x:v>Use HUD/CFPB locator to verify provider</x:v>
      </x:c>
      <x:c r="J110" t="str">
        <x:v>https://www.consumerfinance.gov/find-a-housing-counselor/</x:v>
      </x:c>
      <x:c r="K110" t="str">
        <x:v>2026-07-09</x:v>
      </x:c>
      <x:c r="L110" t="str">
        <x:v>Medium</x:v>
      </x:c>
      <x:c r="M110" t="str">
        <x:v>housing counseling,hud,counselor,tenant support</x:v>
      </x:c>
      <x:c r="N110" t="str">
        <x:v>Framework row. Verify the specific local office, phone, application page, and open/closed status before using in a customer report.</x:v>
      </x:c>
    </x:row>
    <x:row r="111" ht="48" customHeight="1">
      <x:c r="A111" t="str">
        <x:v>Kern</x:v>
      </x:c>
      <x:c r="B111" t="str">
        <x:v>Court Self-Help / Tenant Forms</x:v>
      </x:c>
      <x:c r="C111" t="str">
        <x:v>Kern Court Self-Help / Tenant Forms</x:v>
      </x:c>
      <x:c r="D111" t="str">
        <x:v>County-specific resource slot / local program lookup</x:v>
      </x:c>
      <x:c r="E111" t="str">
        <x:v>https://selfhelp.courts.ca.gov/eviction-tenant</x:v>
      </x:c>
      <x:c r="F111" t="str">
        <x:v>Research / verify</x:v>
      </x:c>
      <x:c r="G111" t="str">
        <x:v>https://selfhelp.courts.ca.gov/eviction-tenant</x:v>
      </x:c>
      <x:c r="H111" t="str">
        <x:v>Court self-help, tenant forms, and procedural resources; not a substitute for legal advice.</x:v>
      </x:c>
      <x:c r="I111" t="str">
        <x:v>Verify county court instructions</x:v>
      </x:c>
      <x:c r="J111" t="str">
        <x:v>https://selfhelp.courts.ca.gov/eviction-tenant</x:v>
      </x:c>
      <x:c r="K111" t="str">
        <x:v>2026-07-09</x:v>
      </x:c>
      <x:c r="L111" t="str">
        <x:v>High</x:v>
      </x:c>
      <x:c r="M111" t="str">
        <x:v>court,self-help,forms,eviction,tenant response</x:v>
      </x:c>
      <x:c r="N111" t="str">
        <x:v>Framework row. Verify the specific local office, phone, application page, and open/closed status before using in a customer report.</x:v>
      </x:c>
    </x:row>
    <x:row r="112" ht="48" customHeight="1">
      <x:c r="A112" t="str">
        <x:v>Ventura</x:v>
      </x:c>
      <x:c r="B112" t="str">
        <x:v>County Housing Department</x:v>
      </x:c>
      <x:c r="C112" t="str">
        <x:v>Ventura County Housing Department</x:v>
      </x:c>
      <x:c r="D112" t="str">
        <x:v>County-specific resource slot / local program lookup</x:v>
      </x:c>
      <x:c r="E112" t="str">
        <x:v>https://www.hcd.ca.gov/</x:v>
      </x:c>
      <x:c r="F112" t="str">
        <x:v>Research / verify</x:v>
      </x:c>
      <x:c r="G112" t="str">
        <x:v>https://www.hcd.ca.gov/</x:v>
      </x:c>
      <x:c r="H112" t="str">
        <x:v>County housing/community development office; first stop for local program status.</x:v>
      </x:c>
      <x:c r="I112" t="str">
        <x:v>Verify local program status</x:v>
      </x:c>
      <x:c r="J112" t="str">
        <x:v>https://www.hcd.ca.gov/</x:v>
      </x:c>
      <x:c r="K112" t="str">
        <x:v>2026-07-09</x:v>
      </x:c>
      <x:c r="L112" t="str">
        <x:v>Core</x:v>
      </x:c>
      <x:c r="M112" t="str">
        <x:v>county,housing,program status</x:v>
      </x:c>
      <x:c r="N112" t="str">
        <x:v>Framework row. Verify the specific local office, phone, application page, and open/closed status before using in a customer report.</x:v>
      </x:c>
    </x:row>
    <x:row r="113" ht="48" customHeight="1">
      <x:c r="A113" t="str">
        <x:v>Ventura</x:v>
      </x:c>
      <x:c r="B113" t="str">
        <x:v>Local Housing Authority</x:v>
      </x:c>
      <x:c r="C113" t="str">
        <x:v>Ventura Local Housing Authority</x:v>
      </x:c>
      <x:c r="D113" t="str">
        <x:v>County-specific resource slot / local program lookup</x:v>
      </x:c>
      <x:c r="E113" t="str">
        <x:v>https://www.hud.gov/states/california/renting</x:v>
      </x:c>
      <x:c r="F113" t="str">
        <x:v>Research / verify</x:v>
      </x:c>
      <x:c r="G113" t="str">
        <x:v>https://www.hud.gov/states/california/renting</x:v>
      </x:c>
      <x:c r="H113" t="str">
        <x:v>Public housing/voucher agency or local housing authority resource; may not provide emergency rent grants.</x:v>
      </x:c>
      <x:c r="I113" t="str">
        <x:v>Verify service area and waitlist/intake status</x:v>
      </x:c>
      <x:c r="J113" t="str">
        <x:v>https://www.hud.gov/states/california/renting</x:v>
      </x:c>
      <x:c r="K113" t="str">
        <x:v>2026-07-09</x:v>
      </x:c>
      <x:c r="L113" t="str">
        <x:v>Core</x:v>
      </x:c>
      <x:c r="M113" t="str">
        <x:v>housing authority,subsidy,public housing,voucher</x:v>
      </x:c>
      <x:c r="N113" t="str">
        <x:v>Framework row. Verify the specific local office, phone, application page, and open/closed status before using in a customer report.</x:v>
      </x:c>
    </x:row>
    <x:row r="114" ht="48" customHeight="1">
      <x:c r="A114" t="str">
        <x:v>Ventura</x:v>
      </x:c>
      <x:c r="B114" t="str">
        <x:v>Emergency Rental / Housing Assistance</x:v>
      </x:c>
      <x:c r="C114" t="str">
        <x:v>Ventura Emergency Rental / Housing Assistance</x:v>
      </x:c>
      <x:c r="D114" t="str">
        <x:v>County-specific resource slot / local program lookup</x:v>
      </x:c>
      <x:c r="E114" t="str">
        <x:v>https://www.211ca.org/</x:v>
      </x:c>
      <x:c r="F114" t="str">
        <x:v>Research / verify</x:v>
      </x:c>
      <x:c r="G114" t="str">
        <x:v>https://www.211ca.org/</x:v>
      </x:c>
      <x:c r="H114" t="str">
        <x:v>Direct rent, deposit, relocation, homeless prevention, or housing stabilization resource where available; funding can open/close.</x:v>
      </x:c>
      <x:c r="I114" t="str">
        <x:v>Funding/appointments may open and close</x:v>
      </x:c>
      <x:c r="J114" t="str">
        <x:v>https://www.211ca.org/</x:v>
      </x:c>
      <x:c r="K114" t="str">
        <x:v>2026-07-09</x:v>
      </x:c>
      <x:c r="L114" t="str">
        <x:v>High</x:v>
      </x:c>
      <x:c r="M114" t="str">
        <x:v>rent,eviction,emergency,homeless prevention</x:v>
      </x:c>
      <x:c r="N114" t="str">
        <x:v>Framework row. Verify the specific local office, phone, application page, and open/closed status before using in a customer report.</x:v>
      </x:c>
    </x:row>
    <x:row r="115" ht="48" customHeight="1">
      <x:c r="A115" t="str">
        <x:v>Ventura</x:v>
      </x:c>
      <x:c r="B115" t="str">
        <x:v>Legal Aid / Eviction Defense</x:v>
      </x:c>
      <x:c r="C115" t="str">
        <x:v>Ventura Legal Aid / Eviction Defense</x:v>
      </x:c>
      <x:c r="D115" t="str">
        <x:v>County-specific resource slot / local program lookup</x:v>
      </x:c>
      <x:c r="E115" t="str">
        <x:v>https://www.lawhelpca.org/</x:v>
      </x:c>
      <x:c r="F115" t="str">
        <x:v>Research / verify</x:v>
      </x:c>
      <x:c r="G115" t="str">
        <x:v>https://www.lawhelpca.org/</x:v>
      </x:c>
      <x:c r="H115" t="str">
        <x:v>Free/low-cost tenant legal help or eviction resources for eligible tenants.</x:v>
      </x:c>
      <x:c r="I115" t="str">
        <x:v>Verify intake requirements</x:v>
      </x:c>
      <x:c r="J115" t="str">
        <x:v>https://www.lawhelpca.org/</x:v>
      </x:c>
      <x:c r="K115" t="str">
        <x:v>2026-07-09</x:v>
      </x:c>
      <x:c r="L115" t="str">
        <x:v>High</x:v>
      </x:c>
      <x:c r="M115" t="str">
        <x:v>legal aid,eviction,court,tenant rights</x:v>
      </x:c>
      <x:c r="N115" t="str">
        <x:v>Framework row. Verify the specific local office, phone, application page, and open/closed status before using in a customer report.</x:v>
      </x:c>
    </x:row>
    <x:row r="116" ht="48" customHeight="1">
      <x:c r="A116" t="str">
        <x:v>Ventura</x:v>
      </x:c>
      <x:c r="B116" t="str">
        <x:v>United Way / 211</x:v>
      </x:c>
      <x:c r="C116" t="str">
        <x:v>Ventura United Way / 211</x:v>
      </x:c>
      <x:c r="D116" t="str">
        <x:v>County-specific resource slot / local program lookup</x:v>
      </x:c>
      <x:c r="E116" t="str">
        <x:v>https://www.211ca.org/</x:v>
      </x:c>
      <x:c r="F116" t="str">
        <x:v>Research / verify</x:v>
      </x:c>
      <x:c r="G116" t="str">
        <x:v>https://www.211ca.org/</x:v>
      </x:c>
      <x:c r="H116" t="str">
        <x:v>Referral hub for rent, utilities, food, shelter and emergency resources.</x:v>
      </x:c>
      <x:c r="I116" t="str">
        <x:v>Verify local referral availability</x:v>
      </x:c>
      <x:c r="J116" t="str">
        <x:v>https://www.211ca.org/</x:v>
      </x:c>
      <x:c r="K116" t="str">
        <x:v>2026-07-09</x:v>
      </x:c>
      <x:c r="L116" t="str">
        <x:v>High</x:v>
      </x:c>
      <x:c r="M116" t="str">
        <x:v>211,referral,rent,utilities</x:v>
      </x:c>
      <x:c r="N116" t="str">
        <x:v>Framework row. Verify the specific local office, phone, application page, and open/closed status before using in a customer report.</x:v>
      </x:c>
    </x:row>
    <x:row r="117" ht="48" customHeight="1">
      <x:c r="A117" t="str">
        <x:v>Ventura</x:v>
      </x:c>
      <x:c r="B117" t="str">
        <x:v>Salvation Army</x:v>
      </x:c>
      <x:c r="C117" t="str">
        <x:v>Ventura Salvation Army</x:v>
      </x:c>
      <x:c r="D117" t="str">
        <x:v>County-specific resource slot / local program lookup</x:v>
      </x:c>
      <x:c r="E117" t="str">
        <x:v>https://westernusa.salvationarmy.org/</x:v>
      </x:c>
      <x:c r="F117" t="str">
        <x:v>Research / verify</x:v>
      </x:c>
      <x:c r="G117" t="str">
        <x:v>https://westernusa.salvationarmy.org/</x:v>
      </x:c>
      <x:c r="H117" t="str">
        <x:v>Faith-based emergency aid resource; assistance varies by branch, county and funding cycle.</x:v>
      </x:c>
      <x:c r="I117" t="str">
        <x:v>Funding/appointments may open and close</x:v>
      </x:c>
      <x:c r="J117" t="str">
        <x:v>https://westernusa.salvationarmy.org/</x:v>
      </x:c>
      <x:c r="K117" t="str">
        <x:v>2026-07-09</x:v>
      </x:c>
      <x:c r="L117" t="str">
        <x:v>Medium</x:v>
      </x:c>
      <x:c r="M117" t="str">
        <x:v>salvation army,rent,utilities,emergency aid</x:v>
      </x:c>
      <x:c r="N117" t="str">
        <x:v>Framework row. Verify the specific local office, phone, application page, and open/closed status before using in a customer report.</x:v>
      </x:c>
    </x:row>
    <x:row r="118" ht="48" customHeight="1">
      <x:c r="A118" t="str">
        <x:v>Ventura</x:v>
      </x:c>
      <x:c r="B118" t="str">
        <x:v>Catholic Charities / Faith-Based Emergency Aid</x:v>
      </x:c>
      <x:c r="C118" t="str">
        <x:v>Ventura Catholic Charities / Faith-Based Emergency Aid</x:v>
      </x:c>
      <x:c r="D118" t="str">
        <x:v>County-specific resource slot / local program lookup</x:v>
      </x:c>
      <x:c r="E118" t="str">
        <x:v>https://www.catholiccharitiesusa.org/find-help/</x:v>
      </x:c>
      <x:c r="F118" t="str">
        <x:v>Research / verify</x:v>
      </x:c>
      <x:c r="G118" t="str">
        <x:v>https://www.catholiccharitiesusa.org/find-help/</x:v>
      </x:c>
      <x:c r="H118" t="str">
        <x:v>Faith-based rent, utility, family support, immigrant/refugee or emergency services resource where available.</x:v>
      </x:c>
      <x:c r="I118" t="str">
        <x:v>Funding/appointments may open and close</x:v>
      </x:c>
      <x:c r="J118" t="str">
        <x:v>https://www.catholiccharitiesusa.org/find-help/</x:v>
      </x:c>
      <x:c r="K118" t="str">
        <x:v>2026-07-09</x:v>
      </x:c>
      <x:c r="L118" t="str">
        <x:v>Medium</x:v>
      </x:c>
      <x:c r="M118" t="str">
        <x:v>catholic charities,faith based,rent,utilities</x:v>
      </x:c>
      <x:c r="N118" t="str">
        <x:v>Framework row. Verify the specific local office, phone, application page, and open/closed status before using in a customer report.</x:v>
      </x:c>
    </x:row>
    <x:row r="119" ht="48" customHeight="1">
      <x:c r="A119" t="str">
        <x:v>Ventura</x:v>
      </x:c>
      <x:c r="B119" t="str">
        <x:v>Community Action / Human Services</x:v>
      </x:c>
      <x:c r="C119" t="str">
        <x:v>Ventura Community Action / Human Services</x:v>
      </x:c>
      <x:c r="D119" t="str">
        <x:v>County-specific resource slot / local program lookup</x:v>
      </x:c>
      <x:c r="E119" t="str">
        <x:v>https://www.csd.ca.gov/Pages/FindServices.aspx</x:v>
      </x:c>
      <x:c r="F119" t="str">
        <x:v>Research / verify</x:v>
      </x:c>
      <x:c r="G119" t="str">
        <x:v>https://www.csd.ca.gov/Pages/FindServices.aspx</x:v>
      </x:c>
      <x:c r="H119" t="str">
        <x:v>Community action or human services agency for household stabilization, utilities, and possible rent support.</x:v>
      </x:c>
      <x:c r="I119" t="str">
        <x:v>Verify eligibility and county coverage</x:v>
      </x:c>
      <x:c r="J119" t="str">
        <x:v>https://www.csd.ca.gov/Pages/FindServices.aspx</x:v>
      </x:c>
      <x:c r="K119" t="str">
        <x:v>2026-07-09</x:v>
      </x:c>
      <x:c r="L119" t="str">
        <x:v>Medium</x:v>
      </x:c>
      <x:c r="M119" t="str">
        <x:v>community action,human services,liheap,rent,utilities</x:v>
      </x:c>
      <x:c r="N119" t="str">
        <x:v>Framework row. Verify the specific local office, phone, application page, and open/closed status before using in a customer report.</x:v>
      </x:c>
    </x:row>
    <x:row r="120" ht="48" customHeight="1">
      <x:c r="A120" t="str">
        <x:v>Ventura</x:v>
      </x:c>
      <x:c r="B120" t="str">
        <x:v>HUD-Approved Housing Counseling</x:v>
      </x:c>
      <x:c r="C120" t="str">
        <x:v>Ventura HUD-Approved Housing Counseling</x:v>
      </x:c>
      <x:c r="D120" t="str">
        <x:v>County-specific resource slot / local program lookup</x:v>
      </x:c>
      <x:c r="E120" t="str">
        <x:v>https://www.consumerfinance.gov/find-a-housing-counselor/</x:v>
      </x:c>
      <x:c r="F120" t="str">
        <x:v>Research / verify</x:v>
      </x:c>
      <x:c r="G120" t="str">
        <x:v>https://www.consumerfinance.gov/find-a-housing-counselor/</x:v>
      </x:c>
      <x:c r="H120" t="str">
        <x:v>HUD-approved counseling pathway for housing stability, budgeting, rental counseling or referrals.</x:v>
      </x:c>
      <x:c r="I120" t="str">
        <x:v>Use HUD/CFPB locator to verify provider</x:v>
      </x:c>
      <x:c r="J120" t="str">
        <x:v>https://www.consumerfinance.gov/find-a-housing-counselor/</x:v>
      </x:c>
      <x:c r="K120" t="str">
        <x:v>2026-07-09</x:v>
      </x:c>
      <x:c r="L120" t="str">
        <x:v>Medium</x:v>
      </x:c>
      <x:c r="M120" t="str">
        <x:v>housing counseling,hud,counselor,tenant support</x:v>
      </x:c>
      <x:c r="N120" t="str">
        <x:v>Framework row. Verify the specific local office, phone, application page, and open/closed status before using in a customer report.</x:v>
      </x:c>
    </x:row>
    <x:row r="121" ht="48" customHeight="1">
      <x:c r="A121" t="str">
        <x:v>Ventura</x:v>
      </x:c>
      <x:c r="B121" t="str">
        <x:v>Court Self-Help / Tenant Forms</x:v>
      </x:c>
      <x:c r="C121" t="str">
        <x:v>Ventura Court Self-Help / Tenant Forms</x:v>
      </x:c>
      <x:c r="D121" t="str">
        <x:v>County-specific resource slot / local program lookup</x:v>
      </x:c>
      <x:c r="E121" t="str">
        <x:v>https://selfhelp.courts.ca.gov/eviction-tenant</x:v>
      </x:c>
      <x:c r="F121" t="str">
        <x:v>Research / verify</x:v>
      </x:c>
      <x:c r="G121" t="str">
        <x:v>https://selfhelp.courts.ca.gov/eviction-tenant</x:v>
      </x:c>
      <x:c r="H121" t="str">
        <x:v>Court self-help, tenant forms, and procedural resources; not a substitute for legal advice.</x:v>
      </x:c>
      <x:c r="I121" t="str">
        <x:v>Verify county court instructions</x:v>
      </x:c>
      <x:c r="J121" t="str">
        <x:v>https://selfhelp.courts.ca.gov/eviction-tenant</x:v>
      </x:c>
      <x:c r="K121" t="str">
        <x:v>2026-07-09</x:v>
      </x:c>
      <x:c r="L121" t="str">
        <x:v>High</x:v>
      </x:c>
      <x:c r="M121" t="str">
        <x:v>court,self-help,forms,eviction,tenant response</x:v>
      </x:c>
      <x:c r="N121" t="str">
        <x:v>Framework row. Verify the specific local office, phone, application page, and open/closed status before using in a customer report.</x:v>
      </x:c>
    </x:row>
    <x:row r="122" ht="48" customHeight="1">
      <x:c r="A122" t="str">
        <x:v>San Francisco</x:v>
      </x:c>
      <x:c r="B122" t="str">
        <x:v>County Housing Department</x:v>
      </x:c>
      <x:c r="C122" t="str">
        <x:v>San Francisco County Housing Department</x:v>
      </x:c>
      <x:c r="D122" t="str">
        <x:v>County-specific resource slot / local program lookup</x:v>
      </x:c>
      <x:c r="E122" t="str">
        <x:v>https://www.hcd.ca.gov/</x:v>
      </x:c>
      <x:c r="F122" t="str">
        <x:v>Research / verify</x:v>
      </x:c>
      <x:c r="G122" t="str">
        <x:v>https://www.hcd.ca.gov/</x:v>
      </x:c>
      <x:c r="H122" t="str">
        <x:v>County housing/community development office; first stop for local program status.</x:v>
      </x:c>
      <x:c r="I122" t="str">
        <x:v>Verify local program status</x:v>
      </x:c>
      <x:c r="J122" t="str">
        <x:v>https://www.hcd.ca.gov/</x:v>
      </x:c>
      <x:c r="K122" t="str">
        <x:v>2026-07-09</x:v>
      </x:c>
      <x:c r="L122" t="str">
        <x:v>Core</x:v>
      </x:c>
      <x:c r="M122" t="str">
        <x:v>county,housing,program status</x:v>
      </x:c>
      <x:c r="N122" t="str">
        <x:v>Framework row. Verify the specific local office, phone, application page, and open/closed status before using in a customer report.</x:v>
      </x:c>
    </x:row>
    <x:row r="123" ht="48" customHeight="1">
      <x:c r="A123" t="str">
        <x:v>San Francisco</x:v>
      </x:c>
      <x:c r="B123" t="str">
        <x:v>Local Housing Authority</x:v>
      </x:c>
      <x:c r="C123" t="str">
        <x:v>San Francisco Local Housing Authority</x:v>
      </x:c>
      <x:c r="D123" t="str">
        <x:v>County-specific resource slot / local program lookup</x:v>
      </x:c>
      <x:c r="E123" t="str">
        <x:v>https://www.hud.gov/states/california/renting</x:v>
      </x:c>
      <x:c r="F123" t="str">
        <x:v>Research / verify</x:v>
      </x:c>
      <x:c r="G123" t="str">
        <x:v>https://www.hud.gov/states/california/renting</x:v>
      </x:c>
      <x:c r="H123" t="str">
        <x:v>Public housing/voucher agency or local housing authority resource; may not provide emergency rent grants.</x:v>
      </x:c>
      <x:c r="I123" t="str">
        <x:v>Verify service area and waitlist/intake status</x:v>
      </x:c>
      <x:c r="J123" t="str">
        <x:v>https://www.hud.gov/states/california/renting</x:v>
      </x:c>
      <x:c r="K123" t="str">
        <x:v>2026-07-09</x:v>
      </x:c>
      <x:c r="L123" t="str">
        <x:v>Core</x:v>
      </x:c>
      <x:c r="M123" t="str">
        <x:v>housing authority,subsidy,public housing,voucher</x:v>
      </x:c>
      <x:c r="N123" t="str">
        <x:v>Framework row. Verify the specific local office, phone, application page, and open/closed status before using in a customer report.</x:v>
      </x:c>
    </x:row>
    <x:row r="124" ht="48" customHeight="1">
      <x:c r="A124" t="str">
        <x:v>San Francisco</x:v>
      </x:c>
      <x:c r="B124" t="str">
        <x:v>Emergency Rental / Housing Assistance</x:v>
      </x:c>
      <x:c r="C124" t="str">
        <x:v>San Francisco Emergency Rental / Housing Assistance</x:v>
      </x:c>
      <x:c r="D124" t="str">
        <x:v>County-specific resource slot / local program lookup</x:v>
      </x:c>
      <x:c r="E124" t="str">
        <x:v>https://www.211ca.org/</x:v>
      </x:c>
      <x:c r="F124" t="str">
        <x:v>Research / verify</x:v>
      </x:c>
      <x:c r="G124" t="str">
        <x:v>https://www.211ca.org/</x:v>
      </x:c>
      <x:c r="H124" t="str">
        <x:v>Direct rent, deposit, relocation, homeless prevention, or housing stabilization resource where available; funding can open/close.</x:v>
      </x:c>
      <x:c r="I124" t="str">
        <x:v>Funding/appointments may open and close</x:v>
      </x:c>
      <x:c r="J124" t="str">
        <x:v>https://www.211ca.org/</x:v>
      </x:c>
      <x:c r="K124" t="str">
        <x:v>2026-07-09</x:v>
      </x:c>
      <x:c r="L124" t="str">
        <x:v>High</x:v>
      </x:c>
      <x:c r="M124" t="str">
        <x:v>rent,eviction,emergency,homeless prevention</x:v>
      </x:c>
      <x:c r="N124" t="str">
        <x:v>Framework row. Verify the specific local office, phone, application page, and open/closed status before using in a customer report.</x:v>
      </x:c>
    </x:row>
    <x:row r="125" ht="48" customHeight="1">
      <x:c r="A125" t="str">
        <x:v>San Francisco</x:v>
      </x:c>
      <x:c r="B125" t="str">
        <x:v>Legal Aid / Eviction Defense</x:v>
      </x:c>
      <x:c r="C125" t="str">
        <x:v>San Francisco Legal Aid / Eviction Defense</x:v>
      </x:c>
      <x:c r="D125" t="str">
        <x:v>County-specific resource slot / local program lookup</x:v>
      </x:c>
      <x:c r="E125" t="str">
        <x:v>https://www.lawhelpca.org/</x:v>
      </x:c>
      <x:c r="F125" t="str">
        <x:v>Research / verify</x:v>
      </x:c>
      <x:c r="G125" t="str">
        <x:v>https://www.lawhelpca.org/</x:v>
      </x:c>
      <x:c r="H125" t="str">
        <x:v>Free/low-cost tenant legal help or eviction resources for eligible tenants.</x:v>
      </x:c>
      <x:c r="I125" t="str">
        <x:v>Verify intake requirements</x:v>
      </x:c>
      <x:c r="J125" t="str">
        <x:v>https://www.lawhelpca.org/</x:v>
      </x:c>
      <x:c r="K125" t="str">
        <x:v>2026-07-09</x:v>
      </x:c>
      <x:c r="L125" t="str">
        <x:v>High</x:v>
      </x:c>
      <x:c r="M125" t="str">
        <x:v>legal aid,eviction,court,tenant rights</x:v>
      </x:c>
      <x:c r="N125" t="str">
        <x:v>Framework row. Verify the specific local office, phone, application page, and open/closed status before using in a customer report.</x:v>
      </x:c>
    </x:row>
    <x:row r="126" ht="48" customHeight="1">
      <x:c r="A126" t="str">
        <x:v>San Francisco</x:v>
      </x:c>
      <x:c r="B126" t="str">
        <x:v>United Way / 211</x:v>
      </x:c>
      <x:c r="C126" t="str">
        <x:v>San Francisco United Way / 211</x:v>
      </x:c>
      <x:c r="D126" t="str">
        <x:v>County-specific resource slot / local program lookup</x:v>
      </x:c>
      <x:c r="E126" t="str">
        <x:v>https://www.211ca.org/</x:v>
      </x:c>
      <x:c r="F126" t="str">
        <x:v>Research / verify</x:v>
      </x:c>
      <x:c r="G126" t="str">
        <x:v>https://www.211ca.org/</x:v>
      </x:c>
      <x:c r="H126" t="str">
        <x:v>Referral hub for rent, utilities, food, shelter and emergency resources.</x:v>
      </x:c>
      <x:c r="I126" t="str">
        <x:v>Verify local referral availability</x:v>
      </x:c>
      <x:c r="J126" t="str">
        <x:v>https://www.211ca.org/</x:v>
      </x:c>
      <x:c r="K126" t="str">
        <x:v>2026-07-09</x:v>
      </x:c>
      <x:c r="L126" t="str">
        <x:v>High</x:v>
      </x:c>
      <x:c r="M126" t="str">
        <x:v>211,referral,rent,utilities</x:v>
      </x:c>
      <x:c r="N126" t="str">
        <x:v>Framework row. Verify the specific local office, phone, application page, and open/closed status before using in a customer report.</x:v>
      </x:c>
    </x:row>
    <x:row r="127" ht="48" customHeight="1">
      <x:c r="A127" t="str">
        <x:v>San Francisco</x:v>
      </x:c>
      <x:c r="B127" t="str">
        <x:v>Salvation Army</x:v>
      </x:c>
      <x:c r="C127" t="str">
        <x:v>San Francisco Salvation Army</x:v>
      </x:c>
      <x:c r="D127" t="str">
        <x:v>County-specific resource slot / local program lookup</x:v>
      </x:c>
      <x:c r="E127" t="str">
        <x:v>https://westernusa.salvationarmy.org/</x:v>
      </x:c>
      <x:c r="F127" t="str">
        <x:v>Research / verify</x:v>
      </x:c>
      <x:c r="G127" t="str">
        <x:v>https://westernusa.salvationarmy.org/</x:v>
      </x:c>
      <x:c r="H127" t="str">
        <x:v>Faith-based emergency aid resource; assistance varies by branch, county and funding cycle.</x:v>
      </x:c>
      <x:c r="I127" t="str">
        <x:v>Funding/appointments may open and close</x:v>
      </x:c>
      <x:c r="J127" t="str">
        <x:v>https://westernusa.salvationarmy.org/</x:v>
      </x:c>
      <x:c r="K127" t="str">
        <x:v>2026-07-09</x:v>
      </x:c>
      <x:c r="L127" t="str">
        <x:v>Medium</x:v>
      </x:c>
      <x:c r="M127" t="str">
        <x:v>salvation army,rent,utilities,emergency aid</x:v>
      </x:c>
      <x:c r="N127" t="str">
        <x:v>Framework row. Verify the specific local office, phone, application page, and open/closed status before using in a customer report.</x:v>
      </x:c>
    </x:row>
    <x:row r="128" ht="48" customHeight="1">
      <x:c r="A128" t="str">
        <x:v>San Francisco</x:v>
      </x:c>
      <x:c r="B128" t="str">
        <x:v>Catholic Charities / Faith-Based Emergency Aid</x:v>
      </x:c>
      <x:c r="C128" t="str">
        <x:v>San Francisco Catholic Charities / Faith-Based Emergency Aid</x:v>
      </x:c>
      <x:c r="D128" t="str">
        <x:v>County-specific resource slot / local program lookup</x:v>
      </x:c>
      <x:c r="E128" t="str">
        <x:v>https://www.catholiccharitiesusa.org/find-help/</x:v>
      </x:c>
      <x:c r="F128" t="str">
        <x:v>Research / verify</x:v>
      </x:c>
      <x:c r="G128" t="str">
        <x:v>https://www.catholiccharitiesusa.org/find-help/</x:v>
      </x:c>
      <x:c r="H128" t="str">
        <x:v>Faith-based rent, utility, family support, immigrant/refugee or emergency services resource where available.</x:v>
      </x:c>
      <x:c r="I128" t="str">
        <x:v>Funding/appointments may open and close</x:v>
      </x:c>
      <x:c r="J128" t="str">
        <x:v>https://www.catholiccharitiesusa.org/find-help/</x:v>
      </x:c>
      <x:c r="K128" t="str">
        <x:v>2026-07-09</x:v>
      </x:c>
      <x:c r="L128" t="str">
        <x:v>Medium</x:v>
      </x:c>
      <x:c r="M128" t="str">
        <x:v>catholic charities,faith based,rent,utilities</x:v>
      </x:c>
      <x:c r="N128" t="str">
        <x:v>Framework row. Verify the specific local office, phone, application page, and open/closed status before using in a customer report.</x:v>
      </x:c>
    </x:row>
    <x:row r="129" ht="48" customHeight="1">
      <x:c r="A129" t="str">
        <x:v>San Francisco</x:v>
      </x:c>
      <x:c r="B129" t="str">
        <x:v>Community Action / Human Services</x:v>
      </x:c>
      <x:c r="C129" t="str">
        <x:v>San Francisco Community Action / Human Services</x:v>
      </x:c>
      <x:c r="D129" t="str">
        <x:v>County-specific resource slot / local program lookup</x:v>
      </x:c>
      <x:c r="E129" t="str">
        <x:v>https://www.csd.ca.gov/Pages/FindServices.aspx</x:v>
      </x:c>
      <x:c r="F129" t="str">
        <x:v>Research / verify</x:v>
      </x:c>
      <x:c r="G129" t="str">
        <x:v>https://www.csd.ca.gov/Pages/FindServices.aspx</x:v>
      </x:c>
      <x:c r="H129" t="str">
        <x:v>Community action or human services agency for household stabilization, utilities, and possible rent support.</x:v>
      </x:c>
      <x:c r="I129" t="str">
        <x:v>Verify eligibility and county coverage</x:v>
      </x:c>
      <x:c r="J129" t="str">
        <x:v>https://www.csd.ca.gov/Pages/FindServices.aspx</x:v>
      </x:c>
      <x:c r="K129" t="str">
        <x:v>2026-07-09</x:v>
      </x:c>
      <x:c r="L129" t="str">
        <x:v>Medium</x:v>
      </x:c>
      <x:c r="M129" t="str">
        <x:v>community action,human services,liheap,rent,utilities</x:v>
      </x:c>
      <x:c r="N129" t="str">
        <x:v>Framework row. Verify the specific local office, phone, application page, and open/closed status before using in a customer report.</x:v>
      </x:c>
    </x:row>
    <x:row r="130" ht="48" customHeight="1">
      <x:c r="A130" t="str">
        <x:v>San Francisco</x:v>
      </x:c>
      <x:c r="B130" t="str">
        <x:v>HUD-Approved Housing Counseling</x:v>
      </x:c>
      <x:c r="C130" t="str">
        <x:v>San Francisco HUD-Approved Housing Counseling</x:v>
      </x:c>
      <x:c r="D130" t="str">
        <x:v>County-specific resource slot / local program lookup</x:v>
      </x:c>
      <x:c r="E130" t="str">
        <x:v>https://www.consumerfinance.gov/find-a-housing-counselor/</x:v>
      </x:c>
      <x:c r="F130" t="str">
        <x:v>Research / verify</x:v>
      </x:c>
      <x:c r="G130" t="str">
        <x:v>https://www.consumerfinance.gov/find-a-housing-counselor/</x:v>
      </x:c>
      <x:c r="H130" t="str">
        <x:v>HUD-approved counseling pathway for housing stability, budgeting, rental counseling or referrals.</x:v>
      </x:c>
      <x:c r="I130" t="str">
        <x:v>Use HUD/CFPB locator to verify provider</x:v>
      </x:c>
      <x:c r="J130" t="str">
        <x:v>https://www.consumerfinance.gov/find-a-housing-counselor/</x:v>
      </x:c>
      <x:c r="K130" t="str">
        <x:v>2026-07-09</x:v>
      </x:c>
      <x:c r="L130" t="str">
        <x:v>Medium</x:v>
      </x:c>
      <x:c r="M130" t="str">
        <x:v>housing counseling,hud,counselor,tenant support</x:v>
      </x:c>
      <x:c r="N130" t="str">
        <x:v>Framework row. Verify the specific local office, phone, application page, and open/closed status before using in a customer report.</x:v>
      </x:c>
    </x:row>
    <x:row r="131" ht="48" customHeight="1">
      <x:c r="A131" t="str">
        <x:v>San Francisco</x:v>
      </x:c>
      <x:c r="B131" t="str">
        <x:v>Court Self-Help / Tenant Forms</x:v>
      </x:c>
      <x:c r="C131" t="str">
        <x:v>San Francisco Court Self-Help / Tenant Forms</x:v>
      </x:c>
      <x:c r="D131" t="str">
        <x:v>County-specific resource slot / local program lookup</x:v>
      </x:c>
      <x:c r="E131" t="str">
        <x:v>https://selfhelp.courts.ca.gov/eviction-tenant</x:v>
      </x:c>
      <x:c r="F131" t="str">
        <x:v>Research / verify</x:v>
      </x:c>
      <x:c r="G131" t="str">
        <x:v>https://selfhelp.courts.ca.gov/eviction-tenant</x:v>
      </x:c>
      <x:c r="H131" t="str">
        <x:v>Court self-help, tenant forms, and procedural resources; not a substitute for legal advice.</x:v>
      </x:c>
      <x:c r="I131" t="str">
        <x:v>Verify county court instructions</x:v>
      </x:c>
      <x:c r="J131" t="str">
        <x:v>https://selfhelp.courts.ca.gov/eviction-tenant</x:v>
      </x:c>
      <x:c r="K131" t="str">
        <x:v>2026-07-09</x:v>
      </x:c>
      <x:c r="L131" t="str">
        <x:v>High</x:v>
      </x:c>
      <x:c r="M131" t="str">
        <x:v>court,self-help,forms,eviction,tenant response</x:v>
      </x:c>
      <x:c r="N131" t="str">
        <x:v>Framework row. Verify the specific local office, phone, application page, and open/closed status before using in a customer report.</x:v>
      </x:c>
    </x:row>
    <x:row r="132" ht="48" customHeight="1">
      <x:c r="A132" t="str">
        <x:v>San Joaquin</x:v>
      </x:c>
      <x:c r="B132" t="str">
        <x:v>County Housing Department</x:v>
      </x:c>
      <x:c r="C132" t="str">
        <x:v>San Joaquin County Housing Department</x:v>
      </x:c>
      <x:c r="D132" t="str">
        <x:v>County-specific resource slot / local program lookup</x:v>
      </x:c>
      <x:c r="E132" t="str">
        <x:v>https://www.hcd.ca.gov/</x:v>
      </x:c>
      <x:c r="F132" t="str">
        <x:v>Research / verify</x:v>
      </x:c>
      <x:c r="G132" t="str">
        <x:v>https://www.hcd.ca.gov/</x:v>
      </x:c>
      <x:c r="H132" t="str">
        <x:v>County housing/community development office; first stop for local program status.</x:v>
      </x:c>
      <x:c r="I132" t="str">
        <x:v>Verify local program status</x:v>
      </x:c>
      <x:c r="J132" t="str">
        <x:v>https://www.hcd.ca.gov/</x:v>
      </x:c>
      <x:c r="K132" t="str">
        <x:v>2026-07-09</x:v>
      </x:c>
      <x:c r="L132" t="str">
        <x:v>Core</x:v>
      </x:c>
      <x:c r="M132" t="str">
        <x:v>county,housing,program status</x:v>
      </x:c>
      <x:c r="N132" t="str">
        <x:v>Framework row. Verify the specific local office, phone, application page, and open/closed status before using in a customer report.</x:v>
      </x:c>
    </x:row>
    <x:row r="133" ht="48" customHeight="1">
      <x:c r="A133" t="str">
        <x:v>San Joaquin</x:v>
      </x:c>
      <x:c r="B133" t="str">
        <x:v>Local Housing Authority</x:v>
      </x:c>
      <x:c r="C133" t="str">
        <x:v>San Joaquin Local Housing Authority</x:v>
      </x:c>
      <x:c r="D133" t="str">
        <x:v>County-specific resource slot / local program lookup</x:v>
      </x:c>
      <x:c r="E133" t="str">
        <x:v>https://www.hud.gov/states/california/renting</x:v>
      </x:c>
      <x:c r="F133" t="str">
        <x:v>Research / verify</x:v>
      </x:c>
      <x:c r="G133" t="str">
        <x:v>https://www.hud.gov/states/california/renting</x:v>
      </x:c>
      <x:c r="H133" t="str">
        <x:v>Public housing/voucher agency or local housing authority resource; may not provide emergency rent grants.</x:v>
      </x:c>
      <x:c r="I133" t="str">
        <x:v>Verify service area and waitlist/intake status</x:v>
      </x:c>
      <x:c r="J133" t="str">
        <x:v>https://www.hud.gov/states/california/renting</x:v>
      </x:c>
      <x:c r="K133" t="str">
        <x:v>2026-07-09</x:v>
      </x:c>
      <x:c r="L133" t="str">
        <x:v>Core</x:v>
      </x:c>
      <x:c r="M133" t="str">
        <x:v>housing authority,subsidy,public housing,voucher</x:v>
      </x:c>
      <x:c r="N133" t="str">
        <x:v>Framework row. Verify the specific local office, phone, application page, and open/closed status before using in a customer report.</x:v>
      </x:c>
    </x:row>
    <x:row r="134" ht="48" customHeight="1">
      <x:c r="A134" t="str">
        <x:v>San Joaquin</x:v>
      </x:c>
      <x:c r="B134" t="str">
        <x:v>Emergency Rental / Housing Assistance</x:v>
      </x:c>
      <x:c r="C134" t="str">
        <x:v>San Joaquin Emergency Rental / Housing Assistance</x:v>
      </x:c>
      <x:c r="D134" t="str">
        <x:v>County-specific resource slot / local program lookup</x:v>
      </x:c>
      <x:c r="E134" t="str">
        <x:v>https://www.211ca.org/</x:v>
      </x:c>
      <x:c r="F134" t="str">
        <x:v>Research / verify</x:v>
      </x:c>
      <x:c r="G134" t="str">
        <x:v>https://www.211ca.org/</x:v>
      </x:c>
      <x:c r="H134" t="str">
        <x:v>Direct rent, deposit, relocation, homeless prevention, or housing stabilization resource where available; funding can open/close.</x:v>
      </x:c>
      <x:c r="I134" t="str">
        <x:v>Funding/appointments may open and close</x:v>
      </x:c>
      <x:c r="J134" t="str">
        <x:v>https://www.211ca.org/</x:v>
      </x:c>
      <x:c r="K134" t="str">
        <x:v>2026-07-09</x:v>
      </x:c>
      <x:c r="L134" t="str">
        <x:v>High</x:v>
      </x:c>
      <x:c r="M134" t="str">
        <x:v>rent,eviction,emergency,homeless prevention</x:v>
      </x:c>
      <x:c r="N134" t="str">
        <x:v>Framework row. Verify the specific local office, phone, application page, and open/closed status before using in a customer report.</x:v>
      </x:c>
    </x:row>
    <x:row r="135" ht="48" customHeight="1">
      <x:c r="A135" t="str">
        <x:v>San Joaquin</x:v>
      </x:c>
      <x:c r="B135" t="str">
        <x:v>Legal Aid / Eviction Defense</x:v>
      </x:c>
      <x:c r="C135" t="str">
        <x:v>San Joaquin Legal Aid / Eviction Defense</x:v>
      </x:c>
      <x:c r="D135" t="str">
        <x:v>County-specific resource slot / local program lookup</x:v>
      </x:c>
      <x:c r="E135" t="str">
        <x:v>https://www.lawhelpca.org/</x:v>
      </x:c>
      <x:c r="F135" t="str">
        <x:v>Research / verify</x:v>
      </x:c>
      <x:c r="G135" t="str">
        <x:v>https://www.lawhelpca.org/</x:v>
      </x:c>
      <x:c r="H135" t="str">
        <x:v>Free/low-cost tenant legal help or eviction resources for eligible tenants.</x:v>
      </x:c>
      <x:c r="I135" t="str">
        <x:v>Verify intake requirements</x:v>
      </x:c>
      <x:c r="J135" t="str">
        <x:v>https://www.lawhelpca.org/</x:v>
      </x:c>
      <x:c r="K135" t="str">
        <x:v>2026-07-09</x:v>
      </x:c>
      <x:c r="L135" t="str">
        <x:v>High</x:v>
      </x:c>
      <x:c r="M135" t="str">
        <x:v>legal aid,eviction,court,tenant rights</x:v>
      </x:c>
      <x:c r="N135" t="str">
        <x:v>Framework row. Verify the specific local office, phone, application page, and open/closed status before using in a customer report.</x:v>
      </x:c>
    </x:row>
    <x:row r="136" ht="48" customHeight="1">
      <x:c r="A136" t="str">
        <x:v>San Joaquin</x:v>
      </x:c>
      <x:c r="B136" t="str">
        <x:v>United Way / 211</x:v>
      </x:c>
      <x:c r="C136" t="str">
        <x:v>San Joaquin United Way / 211</x:v>
      </x:c>
      <x:c r="D136" t="str">
        <x:v>County-specific resource slot / local program lookup</x:v>
      </x:c>
      <x:c r="E136" t="str">
        <x:v>https://www.211ca.org/</x:v>
      </x:c>
      <x:c r="F136" t="str">
        <x:v>Research / verify</x:v>
      </x:c>
      <x:c r="G136" t="str">
        <x:v>https://www.211ca.org/</x:v>
      </x:c>
      <x:c r="H136" t="str">
        <x:v>Referral hub for rent, utilities, food, shelter and emergency resources.</x:v>
      </x:c>
      <x:c r="I136" t="str">
        <x:v>Verify local referral availability</x:v>
      </x:c>
      <x:c r="J136" t="str">
        <x:v>https://www.211ca.org/</x:v>
      </x:c>
      <x:c r="K136" t="str">
        <x:v>2026-07-09</x:v>
      </x:c>
      <x:c r="L136" t="str">
        <x:v>High</x:v>
      </x:c>
      <x:c r="M136" t="str">
        <x:v>211,referral,rent,utilities</x:v>
      </x:c>
      <x:c r="N136" t="str">
        <x:v>Framework row. Verify the specific local office, phone, application page, and open/closed status before using in a customer report.</x:v>
      </x:c>
    </x:row>
    <x:row r="137" ht="48" customHeight="1">
      <x:c r="A137" t="str">
        <x:v>San Joaquin</x:v>
      </x:c>
      <x:c r="B137" t="str">
        <x:v>Salvation Army</x:v>
      </x:c>
      <x:c r="C137" t="str">
        <x:v>San Joaquin Salvation Army</x:v>
      </x:c>
      <x:c r="D137" t="str">
        <x:v>County-specific resource slot / local program lookup</x:v>
      </x:c>
      <x:c r="E137" t="str">
        <x:v>https://westernusa.salvationarmy.org/</x:v>
      </x:c>
      <x:c r="F137" t="str">
        <x:v>Research / verify</x:v>
      </x:c>
      <x:c r="G137" t="str">
        <x:v>https://westernusa.salvationarmy.org/</x:v>
      </x:c>
      <x:c r="H137" t="str">
        <x:v>Faith-based emergency aid resource; assistance varies by branch, county and funding cycle.</x:v>
      </x:c>
      <x:c r="I137" t="str">
        <x:v>Funding/appointments may open and close</x:v>
      </x:c>
      <x:c r="J137" t="str">
        <x:v>https://westernusa.salvationarmy.org/</x:v>
      </x:c>
      <x:c r="K137" t="str">
        <x:v>2026-07-09</x:v>
      </x:c>
      <x:c r="L137" t="str">
        <x:v>Medium</x:v>
      </x:c>
      <x:c r="M137" t="str">
        <x:v>salvation army,rent,utilities,emergency aid</x:v>
      </x:c>
      <x:c r="N137" t="str">
        <x:v>Framework row. Verify the specific local office, phone, application page, and open/closed status before using in a customer report.</x:v>
      </x:c>
    </x:row>
    <x:row r="138" ht="48" customHeight="1">
      <x:c r="A138" t="str">
        <x:v>San Joaquin</x:v>
      </x:c>
      <x:c r="B138" t="str">
        <x:v>Catholic Charities / Faith-Based Emergency Aid</x:v>
      </x:c>
      <x:c r="C138" t="str">
        <x:v>San Joaquin Catholic Charities / Faith-Based Emergency Aid</x:v>
      </x:c>
      <x:c r="D138" t="str">
        <x:v>County-specific resource slot / local program lookup</x:v>
      </x:c>
      <x:c r="E138" t="str">
        <x:v>https://www.catholiccharitiesusa.org/find-help/</x:v>
      </x:c>
      <x:c r="F138" t="str">
        <x:v>Research / verify</x:v>
      </x:c>
      <x:c r="G138" t="str">
        <x:v>https://www.catholiccharitiesusa.org/find-help/</x:v>
      </x:c>
      <x:c r="H138" t="str">
        <x:v>Faith-based rent, utility, family support, immigrant/refugee or emergency services resource where available.</x:v>
      </x:c>
      <x:c r="I138" t="str">
        <x:v>Funding/appointments may open and close</x:v>
      </x:c>
      <x:c r="J138" t="str">
        <x:v>https://www.catholiccharitiesusa.org/find-help/</x:v>
      </x:c>
      <x:c r="K138" t="str">
        <x:v>2026-07-09</x:v>
      </x:c>
      <x:c r="L138" t="str">
        <x:v>Medium</x:v>
      </x:c>
      <x:c r="M138" t="str">
        <x:v>catholic charities,faith based,rent,utilities</x:v>
      </x:c>
      <x:c r="N138" t="str">
        <x:v>Framework row. Verify the specific local office, phone, application page, and open/closed status before using in a customer report.</x:v>
      </x:c>
    </x:row>
    <x:row r="139" ht="48" customHeight="1">
      <x:c r="A139" t="str">
        <x:v>San Joaquin</x:v>
      </x:c>
      <x:c r="B139" t="str">
        <x:v>Community Action / Human Services</x:v>
      </x:c>
      <x:c r="C139" t="str">
        <x:v>San Joaquin Community Action / Human Services</x:v>
      </x:c>
      <x:c r="D139" t="str">
        <x:v>County-specific resource slot / local program lookup</x:v>
      </x:c>
      <x:c r="E139" t="str">
        <x:v>https://www.csd.ca.gov/Pages/FindServices.aspx</x:v>
      </x:c>
      <x:c r="F139" t="str">
        <x:v>Research / verify</x:v>
      </x:c>
      <x:c r="G139" t="str">
        <x:v>https://www.csd.ca.gov/Pages/FindServices.aspx</x:v>
      </x:c>
      <x:c r="H139" t="str">
        <x:v>Community action or human services agency for household stabilization, utilities, and possible rent support.</x:v>
      </x:c>
      <x:c r="I139" t="str">
        <x:v>Verify eligibility and county coverage</x:v>
      </x:c>
      <x:c r="J139" t="str">
        <x:v>https://www.csd.ca.gov/Pages/FindServices.aspx</x:v>
      </x:c>
      <x:c r="K139" t="str">
        <x:v>2026-07-09</x:v>
      </x:c>
      <x:c r="L139" t="str">
        <x:v>Medium</x:v>
      </x:c>
      <x:c r="M139" t="str">
        <x:v>community action,human services,liheap,rent,utilities</x:v>
      </x:c>
      <x:c r="N139" t="str">
        <x:v>Framework row. Verify the specific local office, phone, application page, and open/closed status before using in a customer report.</x:v>
      </x:c>
    </x:row>
    <x:row r="140" ht="48" customHeight="1">
      <x:c r="A140" t="str">
        <x:v>San Joaquin</x:v>
      </x:c>
      <x:c r="B140" t="str">
        <x:v>HUD-Approved Housing Counseling</x:v>
      </x:c>
      <x:c r="C140" t="str">
        <x:v>San Joaquin HUD-Approved Housing Counseling</x:v>
      </x:c>
      <x:c r="D140" t="str">
        <x:v>County-specific resource slot / local program lookup</x:v>
      </x:c>
      <x:c r="E140" t="str">
        <x:v>https://www.consumerfinance.gov/find-a-housing-counselor/</x:v>
      </x:c>
      <x:c r="F140" t="str">
        <x:v>Research / verify</x:v>
      </x:c>
      <x:c r="G140" t="str">
        <x:v>https://www.consumerfinance.gov/find-a-housing-counselor/</x:v>
      </x:c>
      <x:c r="H140" t="str">
        <x:v>HUD-approved counseling pathway for housing stability, budgeting, rental counseling or referrals.</x:v>
      </x:c>
      <x:c r="I140" t="str">
        <x:v>Use HUD/CFPB locator to verify provider</x:v>
      </x:c>
      <x:c r="J140" t="str">
        <x:v>https://www.consumerfinance.gov/find-a-housing-counselor/</x:v>
      </x:c>
      <x:c r="K140" t="str">
        <x:v>2026-07-09</x:v>
      </x:c>
      <x:c r="L140" t="str">
        <x:v>Medium</x:v>
      </x:c>
      <x:c r="M140" t="str">
        <x:v>housing counseling,hud,counselor,tenant support</x:v>
      </x:c>
      <x:c r="N140" t="str">
        <x:v>Framework row. Verify the specific local office, phone, application page, and open/closed status before using in a customer report.</x:v>
      </x:c>
    </x:row>
    <x:row r="141" ht="48" customHeight="1">
      <x:c r="A141" t="str">
        <x:v>San Joaquin</x:v>
      </x:c>
      <x:c r="B141" t="str">
        <x:v>Court Self-Help / Tenant Forms</x:v>
      </x:c>
      <x:c r="C141" t="str">
        <x:v>San Joaquin Court Self-Help / Tenant Forms</x:v>
      </x:c>
      <x:c r="D141" t="str">
        <x:v>County-specific resource slot / local program lookup</x:v>
      </x:c>
      <x:c r="E141" t="str">
        <x:v>https://selfhelp.courts.ca.gov/eviction-tenant</x:v>
      </x:c>
      <x:c r="F141" t="str">
        <x:v>Research / verify</x:v>
      </x:c>
      <x:c r="G141" t="str">
        <x:v>https://selfhelp.courts.ca.gov/eviction-tenant</x:v>
      </x:c>
      <x:c r="H141" t="str">
        <x:v>Court self-help, tenant forms, and procedural resources; not a substitute for legal advice.</x:v>
      </x:c>
      <x:c r="I141" t="str">
        <x:v>Verify county court instructions</x:v>
      </x:c>
      <x:c r="J141" t="str">
        <x:v>https://selfhelp.courts.ca.gov/eviction-tenant</x:v>
      </x:c>
      <x:c r="K141" t="str">
        <x:v>2026-07-09</x:v>
      </x:c>
      <x:c r="L141" t="str">
        <x:v>High</x:v>
      </x:c>
      <x:c r="M141" t="str">
        <x:v>court,self-help,forms,eviction,tenant response</x:v>
      </x:c>
      <x:c r="N141" t="str">
        <x:v>Framework row. Verify the specific local office, phone, application page, and open/closed status before using in a customer report.</x:v>
      </x:c>
    </x:row>
    <x:row r="142" ht="48" customHeight="1">
      <x:c r="A142" t="str">
        <x:v>Stanislaus</x:v>
      </x:c>
      <x:c r="B142" t="str">
        <x:v>County Housing Department</x:v>
      </x:c>
      <x:c r="C142" t="str">
        <x:v>Stanislaus County Housing Department</x:v>
      </x:c>
      <x:c r="D142" t="str">
        <x:v>County-specific resource slot / local program lookup</x:v>
      </x:c>
      <x:c r="E142" t="str">
        <x:v>https://www.hcd.ca.gov/</x:v>
      </x:c>
      <x:c r="F142" t="str">
        <x:v>Research / verify</x:v>
      </x:c>
      <x:c r="G142" t="str">
        <x:v>https://www.hcd.ca.gov/</x:v>
      </x:c>
      <x:c r="H142" t="str">
        <x:v>County housing/community development office; first stop for local program status.</x:v>
      </x:c>
      <x:c r="I142" t="str">
        <x:v>Verify local program status</x:v>
      </x:c>
      <x:c r="J142" t="str">
        <x:v>https://www.hcd.ca.gov/</x:v>
      </x:c>
      <x:c r="K142" t="str">
        <x:v>2026-07-09</x:v>
      </x:c>
      <x:c r="L142" t="str">
        <x:v>Core</x:v>
      </x:c>
      <x:c r="M142" t="str">
        <x:v>county,housing,program status</x:v>
      </x:c>
      <x:c r="N142" t="str">
        <x:v>Framework row. Verify the specific local office, phone, application page, and open/closed status before using in a customer report.</x:v>
      </x:c>
    </x:row>
    <x:row r="143" ht="48" customHeight="1">
      <x:c r="A143" t="str">
        <x:v>Stanislaus</x:v>
      </x:c>
      <x:c r="B143" t="str">
        <x:v>Local Housing Authority</x:v>
      </x:c>
      <x:c r="C143" t="str">
        <x:v>Stanislaus Local Housing Authority</x:v>
      </x:c>
      <x:c r="D143" t="str">
        <x:v>County-specific resource slot / local program lookup</x:v>
      </x:c>
      <x:c r="E143" t="str">
        <x:v>https://www.hud.gov/states/california/renting</x:v>
      </x:c>
      <x:c r="F143" t="str">
        <x:v>Research / verify</x:v>
      </x:c>
      <x:c r="G143" t="str">
        <x:v>https://www.hud.gov/states/california/renting</x:v>
      </x:c>
      <x:c r="H143" t="str">
        <x:v>Public housing/voucher agency or local housing authority resource; may not provide emergency rent grants.</x:v>
      </x:c>
      <x:c r="I143" t="str">
        <x:v>Verify service area and waitlist/intake status</x:v>
      </x:c>
      <x:c r="J143" t="str">
        <x:v>https://www.hud.gov/states/california/renting</x:v>
      </x:c>
      <x:c r="K143" t="str">
        <x:v>2026-07-09</x:v>
      </x:c>
      <x:c r="L143" t="str">
        <x:v>Core</x:v>
      </x:c>
      <x:c r="M143" t="str">
        <x:v>housing authority,subsidy,public housing,voucher</x:v>
      </x:c>
      <x:c r="N143" t="str">
        <x:v>Framework row. Verify the specific local office, phone, application page, and open/closed status before using in a customer report.</x:v>
      </x:c>
    </x:row>
    <x:row r="144" ht="48" customHeight="1">
      <x:c r="A144" t="str">
        <x:v>Stanislaus</x:v>
      </x:c>
      <x:c r="B144" t="str">
        <x:v>Emergency Rental / Housing Assistance</x:v>
      </x:c>
      <x:c r="C144" t="str">
        <x:v>Stanislaus Emergency Rental / Housing Assistance</x:v>
      </x:c>
      <x:c r="D144" t="str">
        <x:v>County-specific resource slot / local program lookup</x:v>
      </x:c>
      <x:c r="E144" t="str">
        <x:v>https://www.211ca.org/</x:v>
      </x:c>
      <x:c r="F144" t="str">
        <x:v>Research / verify</x:v>
      </x:c>
      <x:c r="G144" t="str">
        <x:v>https://www.211ca.org/</x:v>
      </x:c>
      <x:c r="H144" t="str">
        <x:v>Direct rent, deposit, relocation, homeless prevention, or housing stabilization resource where available; funding can open/close.</x:v>
      </x:c>
      <x:c r="I144" t="str">
        <x:v>Funding/appointments may open and close</x:v>
      </x:c>
      <x:c r="J144" t="str">
        <x:v>https://www.211ca.org/</x:v>
      </x:c>
      <x:c r="K144" t="str">
        <x:v>2026-07-09</x:v>
      </x:c>
      <x:c r="L144" t="str">
        <x:v>High</x:v>
      </x:c>
      <x:c r="M144" t="str">
        <x:v>rent,eviction,emergency,homeless prevention</x:v>
      </x:c>
      <x:c r="N144" t="str">
        <x:v>Framework row. Verify the specific local office, phone, application page, and open/closed status before using in a customer report.</x:v>
      </x:c>
    </x:row>
    <x:row r="145" ht="48" customHeight="1">
      <x:c r="A145" t="str">
        <x:v>Stanislaus</x:v>
      </x:c>
      <x:c r="B145" t="str">
        <x:v>Legal Aid / Eviction Defense</x:v>
      </x:c>
      <x:c r="C145" t="str">
        <x:v>Stanislaus Legal Aid / Eviction Defense</x:v>
      </x:c>
      <x:c r="D145" t="str">
        <x:v>County-specific resource slot / local program lookup</x:v>
      </x:c>
      <x:c r="E145" t="str">
        <x:v>https://www.lawhelpca.org/</x:v>
      </x:c>
      <x:c r="F145" t="str">
        <x:v>Research / verify</x:v>
      </x:c>
      <x:c r="G145" t="str">
        <x:v>https://www.lawhelpca.org/</x:v>
      </x:c>
      <x:c r="H145" t="str">
        <x:v>Free/low-cost tenant legal help or eviction resources for eligible tenants.</x:v>
      </x:c>
      <x:c r="I145" t="str">
        <x:v>Verify intake requirements</x:v>
      </x:c>
      <x:c r="J145" t="str">
        <x:v>https://www.lawhelpca.org/</x:v>
      </x:c>
      <x:c r="K145" t="str">
        <x:v>2026-07-09</x:v>
      </x:c>
      <x:c r="L145" t="str">
        <x:v>High</x:v>
      </x:c>
      <x:c r="M145" t="str">
        <x:v>legal aid,eviction,court,tenant rights</x:v>
      </x:c>
      <x:c r="N145" t="str">
        <x:v>Framework row. Verify the specific local office, phone, application page, and open/closed status before using in a customer report.</x:v>
      </x:c>
    </x:row>
    <x:row r="146" ht="48" customHeight="1">
      <x:c r="A146" t="str">
        <x:v>Stanislaus</x:v>
      </x:c>
      <x:c r="B146" t="str">
        <x:v>United Way / 211</x:v>
      </x:c>
      <x:c r="C146" t="str">
        <x:v>Stanislaus United Way / 211</x:v>
      </x:c>
      <x:c r="D146" t="str">
        <x:v>County-specific resource slot / local program lookup</x:v>
      </x:c>
      <x:c r="E146" t="str">
        <x:v>https://www.211ca.org/</x:v>
      </x:c>
      <x:c r="F146" t="str">
        <x:v>Research / verify</x:v>
      </x:c>
      <x:c r="G146" t="str">
        <x:v>https://www.211ca.org/</x:v>
      </x:c>
      <x:c r="H146" t="str">
        <x:v>Referral hub for rent, utilities, food, shelter and emergency resources.</x:v>
      </x:c>
      <x:c r="I146" t="str">
        <x:v>Verify local referral availability</x:v>
      </x:c>
      <x:c r="J146" t="str">
        <x:v>https://www.211ca.org/</x:v>
      </x:c>
      <x:c r="K146" t="str">
        <x:v>2026-07-09</x:v>
      </x:c>
      <x:c r="L146" t="str">
        <x:v>High</x:v>
      </x:c>
      <x:c r="M146" t="str">
        <x:v>211,referral,rent,utilities</x:v>
      </x:c>
      <x:c r="N146" t="str">
        <x:v>Framework row. Verify the specific local office, phone, application page, and open/closed status before using in a customer report.</x:v>
      </x:c>
    </x:row>
    <x:row r="147" ht="48" customHeight="1">
      <x:c r="A147" t="str">
        <x:v>Stanislaus</x:v>
      </x:c>
      <x:c r="B147" t="str">
        <x:v>Salvation Army</x:v>
      </x:c>
      <x:c r="C147" t="str">
        <x:v>Stanislaus Salvation Army</x:v>
      </x:c>
      <x:c r="D147" t="str">
        <x:v>County-specific resource slot / local program lookup</x:v>
      </x:c>
      <x:c r="E147" t="str">
        <x:v>https://westernusa.salvationarmy.org/</x:v>
      </x:c>
      <x:c r="F147" t="str">
        <x:v>Research / verify</x:v>
      </x:c>
      <x:c r="G147" t="str">
        <x:v>https://westernusa.salvationarmy.org/</x:v>
      </x:c>
      <x:c r="H147" t="str">
        <x:v>Faith-based emergency aid resource; assistance varies by branch, county and funding cycle.</x:v>
      </x:c>
      <x:c r="I147" t="str">
        <x:v>Funding/appointments may open and close</x:v>
      </x:c>
      <x:c r="J147" t="str">
        <x:v>https://westernusa.salvationarmy.org/</x:v>
      </x:c>
      <x:c r="K147" t="str">
        <x:v>2026-07-09</x:v>
      </x:c>
      <x:c r="L147" t="str">
        <x:v>Medium</x:v>
      </x:c>
      <x:c r="M147" t="str">
        <x:v>salvation army,rent,utilities,emergency aid</x:v>
      </x:c>
      <x:c r="N147" t="str">
        <x:v>Framework row. Verify the specific local office, phone, application page, and open/closed status before using in a customer report.</x:v>
      </x:c>
    </x:row>
    <x:row r="148" ht="48" customHeight="1">
      <x:c r="A148" t="str">
        <x:v>Stanislaus</x:v>
      </x:c>
      <x:c r="B148" t="str">
        <x:v>Catholic Charities / Faith-Based Emergency Aid</x:v>
      </x:c>
      <x:c r="C148" t="str">
        <x:v>Stanislaus Catholic Charities / Faith-Based Emergency Aid</x:v>
      </x:c>
      <x:c r="D148" t="str">
        <x:v>County-specific resource slot / local program lookup</x:v>
      </x:c>
      <x:c r="E148" t="str">
        <x:v>https://www.catholiccharitiesusa.org/find-help/</x:v>
      </x:c>
      <x:c r="F148" t="str">
        <x:v>Research / verify</x:v>
      </x:c>
      <x:c r="G148" t="str">
        <x:v>https://www.catholiccharitiesusa.org/find-help/</x:v>
      </x:c>
      <x:c r="H148" t="str">
        <x:v>Faith-based rent, utility, family support, immigrant/refugee or emergency services resource where available.</x:v>
      </x:c>
      <x:c r="I148" t="str">
        <x:v>Funding/appointments may open and close</x:v>
      </x:c>
      <x:c r="J148" t="str">
        <x:v>https://www.catholiccharitiesusa.org/find-help/</x:v>
      </x:c>
      <x:c r="K148" t="str">
        <x:v>2026-07-09</x:v>
      </x:c>
      <x:c r="L148" t="str">
        <x:v>Medium</x:v>
      </x:c>
      <x:c r="M148" t="str">
        <x:v>catholic charities,faith based,rent,utilities</x:v>
      </x:c>
      <x:c r="N148" t="str">
        <x:v>Framework row. Verify the specific local office, phone, application page, and open/closed status before using in a customer report.</x:v>
      </x:c>
    </x:row>
    <x:row r="149" ht="48" customHeight="1">
      <x:c r="A149" t="str">
        <x:v>Stanislaus</x:v>
      </x:c>
      <x:c r="B149" t="str">
        <x:v>Community Action / Human Services</x:v>
      </x:c>
      <x:c r="C149" t="str">
        <x:v>Stanislaus Community Action / Human Services</x:v>
      </x:c>
      <x:c r="D149" t="str">
        <x:v>County-specific resource slot / local program lookup</x:v>
      </x:c>
      <x:c r="E149" t="str">
        <x:v>https://www.csd.ca.gov/Pages/FindServices.aspx</x:v>
      </x:c>
      <x:c r="F149" t="str">
        <x:v>Research / verify</x:v>
      </x:c>
      <x:c r="G149" t="str">
        <x:v>https://www.csd.ca.gov/Pages/FindServices.aspx</x:v>
      </x:c>
      <x:c r="H149" t="str">
        <x:v>Community action or human services agency for household stabilization, utilities, and possible rent support.</x:v>
      </x:c>
      <x:c r="I149" t="str">
        <x:v>Verify eligibility and county coverage</x:v>
      </x:c>
      <x:c r="J149" t="str">
        <x:v>https://www.csd.ca.gov/Pages/FindServices.aspx</x:v>
      </x:c>
      <x:c r="K149" t="str">
        <x:v>2026-07-09</x:v>
      </x:c>
      <x:c r="L149" t="str">
        <x:v>Medium</x:v>
      </x:c>
      <x:c r="M149" t="str">
        <x:v>community action,human services,liheap,rent,utilities</x:v>
      </x:c>
      <x:c r="N149" t="str">
        <x:v>Framework row. Verify the specific local office, phone, application page, and open/closed status before using in a customer report.</x:v>
      </x:c>
    </x:row>
    <x:row r="150" ht="48" customHeight="1">
      <x:c r="A150" t="str">
        <x:v>Stanislaus</x:v>
      </x:c>
      <x:c r="B150" t="str">
        <x:v>HUD-Approved Housing Counseling</x:v>
      </x:c>
      <x:c r="C150" t="str">
        <x:v>Stanislaus HUD-Approved Housing Counseling</x:v>
      </x:c>
      <x:c r="D150" t="str">
        <x:v>County-specific resource slot / local program lookup</x:v>
      </x:c>
      <x:c r="E150" t="str">
        <x:v>https://www.consumerfinance.gov/find-a-housing-counselor/</x:v>
      </x:c>
      <x:c r="F150" t="str">
        <x:v>Research / verify</x:v>
      </x:c>
      <x:c r="G150" t="str">
        <x:v>https://www.consumerfinance.gov/find-a-housing-counselor/</x:v>
      </x:c>
      <x:c r="H150" t="str">
        <x:v>HUD-approved counseling pathway for housing stability, budgeting, rental counseling or referrals.</x:v>
      </x:c>
      <x:c r="I150" t="str">
        <x:v>Use HUD/CFPB locator to verify provider</x:v>
      </x:c>
      <x:c r="J150" t="str">
        <x:v>https://www.consumerfinance.gov/find-a-housing-counselor/</x:v>
      </x:c>
      <x:c r="K150" t="str">
        <x:v>2026-07-09</x:v>
      </x:c>
      <x:c r="L150" t="str">
        <x:v>Medium</x:v>
      </x:c>
      <x:c r="M150" t="str">
        <x:v>housing counseling,hud,counselor,tenant support</x:v>
      </x:c>
      <x:c r="N150" t="str">
        <x:v>Framework row. Verify the specific local office, phone, application page, and open/closed status before using in a customer report.</x:v>
      </x:c>
    </x:row>
    <x:row r="151" ht="48" customHeight="1">
      <x:c r="A151" t="str">
        <x:v>Stanislaus</x:v>
      </x:c>
      <x:c r="B151" t="str">
        <x:v>Court Self-Help / Tenant Forms</x:v>
      </x:c>
      <x:c r="C151" t="str">
        <x:v>Stanislaus Court Self-Help / Tenant Forms</x:v>
      </x:c>
      <x:c r="D151" t="str">
        <x:v>County-specific resource slot / local program lookup</x:v>
      </x:c>
      <x:c r="E151" t="str">
        <x:v>https://selfhelp.courts.ca.gov/eviction-tenant</x:v>
      </x:c>
      <x:c r="F151" t="str">
        <x:v>Research / verify</x:v>
      </x:c>
      <x:c r="G151" t="str">
        <x:v>https://selfhelp.courts.ca.gov/eviction-tenant</x:v>
      </x:c>
      <x:c r="H151" t="str">
        <x:v>Court self-help, tenant forms, and procedural resources; not a substitute for legal advice.</x:v>
      </x:c>
      <x:c r="I151" t="str">
        <x:v>Verify county court instructions</x:v>
      </x:c>
      <x:c r="J151" t="str">
        <x:v>https://selfhelp.courts.ca.gov/eviction-tenant</x:v>
      </x:c>
      <x:c r="K151" t="str">
        <x:v>2026-07-09</x:v>
      </x:c>
      <x:c r="L151" t="str">
        <x:v>High</x:v>
      </x:c>
      <x:c r="M151" t="str">
        <x:v>court,self-help,forms,eviction,tenant response</x:v>
      </x:c>
      <x:c r="N151" t="str">
        <x:v>Framework row. Verify the specific local office, phone, application page, and open/closed status before using in a customer report.</x:v>
      </x:c>
    </x:row>
    <x:row r="152" ht="48" customHeight="1">
      <x:c r="A152" t="str">
        <x:v>Sonoma</x:v>
      </x:c>
      <x:c r="B152" t="str">
        <x:v>County Housing Department</x:v>
      </x:c>
      <x:c r="C152" t="str">
        <x:v>Sonoma County Housing Department</x:v>
      </x:c>
      <x:c r="D152" t="str">
        <x:v>County-specific resource slot / local program lookup</x:v>
      </x:c>
      <x:c r="E152" t="str">
        <x:v>https://www.hcd.ca.gov/</x:v>
      </x:c>
      <x:c r="F152" t="str">
        <x:v>Research / verify</x:v>
      </x:c>
      <x:c r="G152" t="str">
        <x:v>https://www.hcd.ca.gov/</x:v>
      </x:c>
      <x:c r="H152" t="str">
        <x:v>County housing/community development office; first stop for local program status.</x:v>
      </x:c>
      <x:c r="I152" t="str">
        <x:v>Verify local program status</x:v>
      </x:c>
      <x:c r="J152" t="str">
        <x:v>https://www.hcd.ca.gov/</x:v>
      </x:c>
      <x:c r="K152" t="str">
        <x:v>2026-07-09</x:v>
      </x:c>
      <x:c r="L152" t="str">
        <x:v>Core</x:v>
      </x:c>
      <x:c r="M152" t="str">
        <x:v>county,housing,program status</x:v>
      </x:c>
      <x:c r="N152" t="str">
        <x:v>Framework row. Verify the specific local office, phone, application page, and open/closed status before using in a customer report.</x:v>
      </x:c>
    </x:row>
    <x:row r="153" ht="48" customHeight="1">
      <x:c r="A153" t="str">
        <x:v>Sonoma</x:v>
      </x:c>
      <x:c r="B153" t="str">
        <x:v>Local Housing Authority</x:v>
      </x:c>
      <x:c r="C153" t="str">
        <x:v>Sonoma Local Housing Authority</x:v>
      </x:c>
      <x:c r="D153" t="str">
        <x:v>County-specific resource slot / local program lookup</x:v>
      </x:c>
      <x:c r="E153" t="str">
        <x:v>https://www.hud.gov/states/california/renting</x:v>
      </x:c>
      <x:c r="F153" t="str">
        <x:v>Research / verify</x:v>
      </x:c>
      <x:c r="G153" t="str">
        <x:v>https://www.hud.gov/states/california/renting</x:v>
      </x:c>
      <x:c r="H153" t="str">
        <x:v>Public housing/voucher agency or local housing authority resource; may not provide emergency rent grants.</x:v>
      </x:c>
      <x:c r="I153" t="str">
        <x:v>Verify service area and waitlist/intake status</x:v>
      </x:c>
      <x:c r="J153" t="str">
        <x:v>https://www.hud.gov/states/california/renting</x:v>
      </x:c>
      <x:c r="K153" t="str">
        <x:v>2026-07-09</x:v>
      </x:c>
      <x:c r="L153" t="str">
        <x:v>Core</x:v>
      </x:c>
      <x:c r="M153" t="str">
        <x:v>housing authority,subsidy,public housing,voucher</x:v>
      </x:c>
      <x:c r="N153" t="str">
        <x:v>Framework row. Verify the specific local office, phone, application page, and open/closed status before using in a customer report.</x:v>
      </x:c>
    </x:row>
    <x:row r="154" ht="48" customHeight="1">
      <x:c r="A154" t="str">
        <x:v>Sonoma</x:v>
      </x:c>
      <x:c r="B154" t="str">
        <x:v>Emergency Rental / Housing Assistance</x:v>
      </x:c>
      <x:c r="C154" t="str">
        <x:v>Sonoma Emergency Rental / Housing Assistance</x:v>
      </x:c>
      <x:c r="D154" t="str">
        <x:v>County-specific resource slot / local program lookup</x:v>
      </x:c>
      <x:c r="E154" t="str">
        <x:v>https://www.211ca.org/</x:v>
      </x:c>
      <x:c r="F154" t="str">
        <x:v>Research / verify</x:v>
      </x:c>
      <x:c r="G154" t="str">
        <x:v>https://www.211ca.org/</x:v>
      </x:c>
      <x:c r="H154" t="str">
        <x:v>Direct rent, deposit, relocation, homeless prevention, or housing stabilization resource where available; funding can open/close.</x:v>
      </x:c>
      <x:c r="I154" t="str">
        <x:v>Funding/appointments may open and close</x:v>
      </x:c>
      <x:c r="J154" t="str">
        <x:v>https://www.211ca.org/</x:v>
      </x:c>
      <x:c r="K154" t="str">
        <x:v>2026-07-09</x:v>
      </x:c>
      <x:c r="L154" t="str">
        <x:v>High</x:v>
      </x:c>
      <x:c r="M154" t="str">
        <x:v>rent,eviction,emergency,homeless prevention</x:v>
      </x:c>
      <x:c r="N154" t="str">
        <x:v>Framework row. Verify the specific local office, phone, application page, and open/closed status before using in a customer report.</x:v>
      </x:c>
    </x:row>
    <x:row r="155" ht="48" customHeight="1">
      <x:c r="A155" t="str">
        <x:v>Sonoma</x:v>
      </x:c>
      <x:c r="B155" t="str">
        <x:v>Legal Aid / Eviction Defense</x:v>
      </x:c>
      <x:c r="C155" t="str">
        <x:v>Sonoma Legal Aid / Eviction Defense</x:v>
      </x:c>
      <x:c r="D155" t="str">
        <x:v>County-specific resource slot / local program lookup</x:v>
      </x:c>
      <x:c r="E155" t="str">
        <x:v>https://www.lawhelpca.org/</x:v>
      </x:c>
      <x:c r="F155" t="str">
        <x:v>Research / verify</x:v>
      </x:c>
      <x:c r="G155" t="str">
        <x:v>https://www.lawhelpca.org/</x:v>
      </x:c>
      <x:c r="H155" t="str">
        <x:v>Free/low-cost tenant legal help or eviction resources for eligible tenants.</x:v>
      </x:c>
      <x:c r="I155" t="str">
        <x:v>Verify intake requirements</x:v>
      </x:c>
      <x:c r="J155" t="str">
        <x:v>https://www.lawhelpca.org/</x:v>
      </x:c>
      <x:c r="K155" t="str">
        <x:v>2026-07-09</x:v>
      </x:c>
      <x:c r="L155" t="str">
        <x:v>High</x:v>
      </x:c>
      <x:c r="M155" t="str">
        <x:v>legal aid,eviction,court,tenant rights</x:v>
      </x:c>
      <x:c r="N155" t="str">
        <x:v>Framework row. Verify the specific local office, phone, application page, and open/closed status before using in a customer report.</x:v>
      </x:c>
    </x:row>
    <x:row r="156" ht="48" customHeight="1">
      <x:c r="A156" t="str">
        <x:v>Sonoma</x:v>
      </x:c>
      <x:c r="B156" t="str">
        <x:v>United Way / 211</x:v>
      </x:c>
      <x:c r="C156" t="str">
        <x:v>Sonoma United Way / 211</x:v>
      </x:c>
      <x:c r="D156" t="str">
        <x:v>County-specific resource slot / local program lookup</x:v>
      </x:c>
      <x:c r="E156" t="str">
        <x:v>https://www.211ca.org/</x:v>
      </x:c>
      <x:c r="F156" t="str">
        <x:v>Research / verify</x:v>
      </x:c>
      <x:c r="G156" t="str">
        <x:v>https://www.211ca.org/</x:v>
      </x:c>
      <x:c r="H156" t="str">
        <x:v>Referral hub for rent, utilities, food, shelter and emergency resources.</x:v>
      </x:c>
      <x:c r="I156" t="str">
        <x:v>Verify local referral availability</x:v>
      </x:c>
      <x:c r="J156" t="str">
        <x:v>https://www.211ca.org/</x:v>
      </x:c>
      <x:c r="K156" t="str">
        <x:v>2026-07-09</x:v>
      </x:c>
      <x:c r="L156" t="str">
        <x:v>High</x:v>
      </x:c>
      <x:c r="M156" t="str">
        <x:v>211,referral,rent,utilities</x:v>
      </x:c>
      <x:c r="N156" t="str">
        <x:v>Framework row. Verify the specific local office, phone, application page, and open/closed status before using in a customer report.</x:v>
      </x:c>
    </x:row>
    <x:row r="157" ht="48" customHeight="1">
      <x:c r="A157" t="str">
        <x:v>Sonoma</x:v>
      </x:c>
      <x:c r="B157" t="str">
        <x:v>Salvation Army</x:v>
      </x:c>
      <x:c r="C157" t="str">
        <x:v>Sonoma Salvation Army</x:v>
      </x:c>
      <x:c r="D157" t="str">
        <x:v>County-specific resource slot / local program lookup</x:v>
      </x:c>
      <x:c r="E157" t="str">
        <x:v>https://westernusa.salvationarmy.org/</x:v>
      </x:c>
      <x:c r="F157" t="str">
        <x:v>Research / verify</x:v>
      </x:c>
      <x:c r="G157" t="str">
        <x:v>https://westernusa.salvationarmy.org/</x:v>
      </x:c>
      <x:c r="H157" t="str">
        <x:v>Faith-based emergency aid resource; assistance varies by branch, county and funding cycle.</x:v>
      </x:c>
      <x:c r="I157" t="str">
        <x:v>Funding/appointments may open and close</x:v>
      </x:c>
      <x:c r="J157" t="str">
        <x:v>https://westernusa.salvationarmy.org/</x:v>
      </x:c>
      <x:c r="K157" t="str">
        <x:v>2026-07-09</x:v>
      </x:c>
      <x:c r="L157" t="str">
        <x:v>Medium</x:v>
      </x:c>
      <x:c r="M157" t="str">
        <x:v>salvation army,rent,utilities,emergency aid</x:v>
      </x:c>
      <x:c r="N157" t="str">
        <x:v>Framework row. Verify the specific local office, phone, application page, and open/closed status before using in a customer report.</x:v>
      </x:c>
    </x:row>
    <x:row r="158" ht="48" customHeight="1">
      <x:c r="A158" t="str">
        <x:v>Sonoma</x:v>
      </x:c>
      <x:c r="B158" t="str">
        <x:v>Catholic Charities / Faith-Based Emergency Aid</x:v>
      </x:c>
      <x:c r="C158" t="str">
        <x:v>Sonoma Catholic Charities / Faith-Based Emergency Aid</x:v>
      </x:c>
      <x:c r="D158" t="str">
        <x:v>County-specific resource slot / local program lookup</x:v>
      </x:c>
      <x:c r="E158" t="str">
        <x:v>https://www.catholiccharitiesusa.org/find-help/</x:v>
      </x:c>
      <x:c r="F158" t="str">
        <x:v>Research / verify</x:v>
      </x:c>
      <x:c r="G158" t="str">
        <x:v>https://www.catholiccharitiesusa.org/find-help/</x:v>
      </x:c>
      <x:c r="H158" t="str">
        <x:v>Faith-based rent, utility, family support, immigrant/refugee or emergency services resource where available.</x:v>
      </x:c>
      <x:c r="I158" t="str">
        <x:v>Funding/appointments may open and close</x:v>
      </x:c>
      <x:c r="J158" t="str">
        <x:v>https://www.catholiccharitiesusa.org/find-help/</x:v>
      </x:c>
      <x:c r="K158" t="str">
        <x:v>2026-07-09</x:v>
      </x:c>
      <x:c r="L158" t="str">
        <x:v>Medium</x:v>
      </x:c>
      <x:c r="M158" t="str">
        <x:v>catholic charities,faith based,rent,utilities</x:v>
      </x:c>
      <x:c r="N158" t="str">
        <x:v>Framework row. Verify the specific local office, phone, application page, and open/closed status before using in a customer report.</x:v>
      </x:c>
    </x:row>
    <x:row r="159" ht="48" customHeight="1">
      <x:c r="A159" t="str">
        <x:v>Sonoma</x:v>
      </x:c>
      <x:c r="B159" t="str">
        <x:v>Community Action / Human Services</x:v>
      </x:c>
      <x:c r="C159" t="str">
        <x:v>Sonoma Community Action / Human Services</x:v>
      </x:c>
      <x:c r="D159" t="str">
        <x:v>County-specific resource slot / local program lookup</x:v>
      </x:c>
      <x:c r="E159" t="str">
        <x:v>https://www.csd.ca.gov/Pages/FindServices.aspx</x:v>
      </x:c>
      <x:c r="F159" t="str">
        <x:v>Research / verify</x:v>
      </x:c>
      <x:c r="G159" t="str">
        <x:v>https://www.csd.ca.gov/Pages/FindServices.aspx</x:v>
      </x:c>
      <x:c r="H159" t="str">
        <x:v>Community action or human services agency for household stabilization, utilities, and possible rent support.</x:v>
      </x:c>
      <x:c r="I159" t="str">
        <x:v>Verify eligibility and county coverage</x:v>
      </x:c>
      <x:c r="J159" t="str">
        <x:v>https://www.csd.ca.gov/Pages/FindServices.aspx</x:v>
      </x:c>
      <x:c r="K159" t="str">
        <x:v>2026-07-09</x:v>
      </x:c>
      <x:c r="L159" t="str">
        <x:v>Medium</x:v>
      </x:c>
      <x:c r="M159" t="str">
        <x:v>community action,human services,liheap,rent,utilities</x:v>
      </x:c>
      <x:c r="N159" t="str">
        <x:v>Framework row. Verify the specific local office, phone, application page, and open/closed status before using in a customer report.</x:v>
      </x:c>
    </x:row>
    <x:row r="160" ht="48" customHeight="1">
      <x:c r="A160" t="str">
        <x:v>Sonoma</x:v>
      </x:c>
      <x:c r="B160" t="str">
        <x:v>HUD-Approved Housing Counseling</x:v>
      </x:c>
      <x:c r="C160" t="str">
        <x:v>Sonoma HUD-Approved Housing Counseling</x:v>
      </x:c>
      <x:c r="D160" t="str">
        <x:v>County-specific resource slot / local program lookup</x:v>
      </x:c>
      <x:c r="E160" t="str">
        <x:v>https://www.consumerfinance.gov/find-a-housing-counselor/</x:v>
      </x:c>
      <x:c r="F160" t="str">
        <x:v>Research / verify</x:v>
      </x:c>
      <x:c r="G160" t="str">
        <x:v>https://www.consumerfinance.gov/find-a-housing-counselor/</x:v>
      </x:c>
      <x:c r="H160" t="str">
        <x:v>HUD-approved counseling pathway for housing stability, budgeting, rental counseling or referrals.</x:v>
      </x:c>
      <x:c r="I160" t="str">
        <x:v>Use HUD/CFPB locator to verify provider</x:v>
      </x:c>
      <x:c r="J160" t="str">
        <x:v>https://www.consumerfinance.gov/find-a-housing-counselor/</x:v>
      </x:c>
      <x:c r="K160" t="str">
        <x:v>2026-07-09</x:v>
      </x:c>
      <x:c r="L160" t="str">
        <x:v>Medium</x:v>
      </x:c>
      <x:c r="M160" t="str">
        <x:v>housing counseling,hud,counselor,tenant support</x:v>
      </x:c>
      <x:c r="N160" t="str">
        <x:v>Framework row. Verify the specific local office, phone, application page, and open/closed status before using in a customer report.</x:v>
      </x:c>
    </x:row>
    <x:row r="161" ht="48" customHeight="1">
      <x:c r="A161" t="str">
        <x:v>Sonoma</x:v>
      </x:c>
      <x:c r="B161" t="str">
        <x:v>Court Self-Help / Tenant Forms</x:v>
      </x:c>
      <x:c r="C161" t="str">
        <x:v>Sonoma Court Self-Help / Tenant Forms</x:v>
      </x:c>
      <x:c r="D161" t="str">
        <x:v>County-specific resource slot / local program lookup</x:v>
      </x:c>
      <x:c r="E161" t="str">
        <x:v>https://selfhelp.courts.ca.gov/eviction-tenant</x:v>
      </x:c>
      <x:c r="F161" t="str">
        <x:v>Research / verify</x:v>
      </x:c>
      <x:c r="G161" t="str">
        <x:v>https://selfhelp.courts.ca.gov/eviction-tenant</x:v>
      </x:c>
      <x:c r="H161" t="str">
        <x:v>Court self-help, tenant forms, and procedural resources; not a substitute for legal advice.</x:v>
      </x:c>
      <x:c r="I161" t="str">
        <x:v>Verify county court instructions</x:v>
      </x:c>
      <x:c r="J161" t="str">
        <x:v>https://selfhelp.courts.ca.gov/eviction-tenant</x:v>
      </x:c>
      <x:c r="K161" t="str">
        <x:v>2026-07-09</x:v>
      </x:c>
      <x:c r="L161" t="str">
        <x:v>High</x:v>
      </x:c>
      <x:c r="M161" t="str">
        <x:v>court,self-help,forms,eviction,tenant response</x:v>
      </x:c>
      <x:c r="N161" t="str">
        <x:v>Framework row. Verify the specific local office, phone, application page, and open/closed status before using in a customer report.</x:v>
      </x:c>
    </x:row>
    <x:row r="162" ht="48" customHeight="1">
      <x:c r="A162" t="str">
        <x:v>Monterey</x:v>
      </x:c>
      <x:c r="B162" t="str">
        <x:v>County Housing Department</x:v>
      </x:c>
      <x:c r="C162" t="str">
        <x:v>Monterey County Housing Department</x:v>
      </x:c>
      <x:c r="D162" t="str">
        <x:v>County-specific resource slot / local program lookup</x:v>
      </x:c>
      <x:c r="E162" t="str">
        <x:v>https://www.hcd.ca.gov/</x:v>
      </x:c>
      <x:c r="F162" t="str">
        <x:v>Research / verify</x:v>
      </x:c>
      <x:c r="G162" t="str">
        <x:v>https://www.hcd.ca.gov/</x:v>
      </x:c>
      <x:c r="H162" t="str">
        <x:v>County housing/community development office; first stop for local program status.</x:v>
      </x:c>
      <x:c r="I162" t="str">
        <x:v>Verify local program status</x:v>
      </x:c>
      <x:c r="J162" t="str">
        <x:v>https://www.hcd.ca.gov/</x:v>
      </x:c>
      <x:c r="K162" t="str">
        <x:v>2026-07-09</x:v>
      </x:c>
      <x:c r="L162" t="str">
        <x:v>Core</x:v>
      </x:c>
      <x:c r="M162" t="str">
        <x:v>county,housing,program status</x:v>
      </x:c>
      <x:c r="N162" t="str">
        <x:v>Framework row. Verify the specific local office, phone, application page, and open/closed status before using in a customer report.</x:v>
      </x:c>
    </x:row>
    <x:row r="163" ht="48" customHeight="1">
      <x:c r="A163" t="str">
        <x:v>Monterey</x:v>
      </x:c>
      <x:c r="B163" t="str">
        <x:v>Local Housing Authority</x:v>
      </x:c>
      <x:c r="C163" t="str">
        <x:v>Monterey Local Housing Authority</x:v>
      </x:c>
      <x:c r="D163" t="str">
        <x:v>County-specific resource slot / local program lookup</x:v>
      </x:c>
      <x:c r="E163" t="str">
        <x:v>https://www.hud.gov/states/california/renting</x:v>
      </x:c>
      <x:c r="F163" t="str">
        <x:v>Research / verify</x:v>
      </x:c>
      <x:c r="G163" t="str">
        <x:v>https://www.hud.gov/states/california/renting</x:v>
      </x:c>
      <x:c r="H163" t="str">
        <x:v>Public housing/voucher agency or local housing authority resource; may not provide emergency rent grants.</x:v>
      </x:c>
      <x:c r="I163" t="str">
        <x:v>Verify service area and waitlist/intake status</x:v>
      </x:c>
      <x:c r="J163" t="str">
        <x:v>https://www.hud.gov/states/california/renting</x:v>
      </x:c>
      <x:c r="K163" t="str">
        <x:v>2026-07-09</x:v>
      </x:c>
      <x:c r="L163" t="str">
        <x:v>Core</x:v>
      </x:c>
      <x:c r="M163" t="str">
        <x:v>housing authority,subsidy,public housing,voucher</x:v>
      </x:c>
      <x:c r="N163" t="str">
        <x:v>Framework row. Verify the specific local office, phone, application page, and open/closed status before using in a customer report.</x:v>
      </x:c>
    </x:row>
    <x:row r="164" ht="48" customHeight="1">
      <x:c r="A164" t="str">
        <x:v>Monterey</x:v>
      </x:c>
      <x:c r="B164" t="str">
        <x:v>Emergency Rental / Housing Assistance</x:v>
      </x:c>
      <x:c r="C164" t="str">
        <x:v>Monterey Emergency Rental / Housing Assistance</x:v>
      </x:c>
      <x:c r="D164" t="str">
        <x:v>County-specific resource slot / local program lookup</x:v>
      </x:c>
      <x:c r="E164" t="str">
        <x:v>https://www.211ca.org/</x:v>
      </x:c>
      <x:c r="F164" t="str">
        <x:v>Research / verify</x:v>
      </x:c>
      <x:c r="G164" t="str">
        <x:v>https://www.211ca.org/</x:v>
      </x:c>
      <x:c r="H164" t="str">
        <x:v>Direct rent, deposit, relocation, homeless prevention, or housing stabilization resource where available; funding can open/close.</x:v>
      </x:c>
      <x:c r="I164" t="str">
        <x:v>Funding/appointments may open and close</x:v>
      </x:c>
      <x:c r="J164" t="str">
        <x:v>https://www.211ca.org/</x:v>
      </x:c>
      <x:c r="K164" t="str">
        <x:v>2026-07-09</x:v>
      </x:c>
      <x:c r="L164" t="str">
        <x:v>High</x:v>
      </x:c>
      <x:c r="M164" t="str">
        <x:v>rent,eviction,emergency,homeless prevention</x:v>
      </x:c>
      <x:c r="N164" t="str">
        <x:v>Framework row. Verify the specific local office, phone, application page, and open/closed status before using in a customer report.</x:v>
      </x:c>
    </x:row>
    <x:row r="165" ht="48" customHeight="1">
      <x:c r="A165" t="str">
        <x:v>Monterey</x:v>
      </x:c>
      <x:c r="B165" t="str">
        <x:v>Legal Aid / Eviction Defense</x:v>
      </x:c>
      <x:c r="C165" t="str">
        <x:v>Monterey Legal Aid / Eviction Defense</x:v>
      </x:c>
      <x:c r="D165" t="str">
        <x:v>County-specific resource slot / local program lookup</x:v>
      </x:c>
      <x:c r="E165" t="str">
        <x:v>https://www.lawhelpca.org/</x:v>
      </x:c>
      <x:c r="F165" t="str">
        <x:v>Research / verify</x:v>
      </x:c>
      <x:c r="G165" t="str">
        <x:v>https://www.lawhelpca.org/</x:v>
      </x:c>
      <x:c r="H165" t="str">
        <x:v>Free/low-cost tenant legal help or eviction resources for eligible tenants.</x:v>
      </x:c>
      <x:c r="I165" t="str">
        <x:v>Verify intake requirements</x:v>
      </x:c>
      <x:c r="J165" t="str">
        <x:v>https://www.lawhelpca.org/</x:v>
      </x:c>
      <x:c r="K165" t="str">
        <x:v>2026-07-09</x:v>
      </x:c>
      <x:c r="L165" t="str">
        <x:v>High</x:v>
      </x:c>
      <x:c r="M165" t="str">
        <x:v>legal aid,eviction,court,tenant rights</x:v>
      </x:c>
      <x:c r="N165" t="str">
        <x:v>Framework row. Verify the specific local office, phone, application page, and open/closed status before using in a customer report.</x:v>
      </x:c>
    </x:row>
    <x:row r="166" ht="48" customHeight="1">
      <x:c r="A166" t="str">
        <x:v>Monterey</x:v>
      </x:c>
      <x:c r="B166" t="str">
        <x:v>United Way / 211</x:v>
      </x:c>
      <x:c r="C166" t="str">
        <x:v>Monterey United Way / 211</x:v>
      </x:c>
      <x:c r="D166" t="str">
        <x:v>County-specific resource slot / local program lookup</x:v>
      </x:c>
      <x:c r="E166" t="str">
        <x:v>https://www.211ca.org/</x:v>
      </x:c>
      <x:c r="F166" t="str">
        <x:v>Research / verify</x:v>
      </x:c>
      <x:c r="G166" t="str">
        <x:v>https://www.211ca.org/</x:v>
      </x:c>
      <x:c r="H166" t="str">
        <x:v>Referral hub for rent, utilities, food, shelter and emergency resources.</x:v>
      </x:c>
      <x:c r="I166" t="str">
        <x:v>Verify local referral availability</x:v>
      </x:c>
      <x:c r="J166" t="str">
        <x:v>https://www.211ca.org/</x:v>
      </x:c>
      <x:c r="K166" t="str">
        <x:v>2026-07-09</x:v>
      </x:c>
      <x:c r="L166" t="str">
        <x:v>High</x:v>
      </x:c>
      <x:c r="M166" t="str">
        <x:v>211,referral,rent,utilities</x:v>
      </x:c>
      <x:c r="N166" t="str">
        <x:v>Framework row. Verify the specific local office, phone, application page, and open/closed status before using in a customer report.</x:v>
      </x:c>
    </x:row>
    <x:row r="167" ht="48" customHeight="1">
      <x:c r="A167" t="str">
        <x:v>Monterey</x:v>
      </x:c>
      <x:c r="B167" t="str">
        <x:v>Salvation Army</x:v>
      </x:c>
      <x:c r="C167" t="str">
        <x:v>Monterey Salvation Army</x:v>
      </x:c>
      <x:c r="D167" t="str">
        <x:v>County-specific resource slot / local program lookup</x:v>
      </x:c>
      <x:c r="E167" t="str">
        <x:v>https://westernusa.salvationarmy.org/</x:v>
      </x:c>
      <x:c r="F167" t="str">
        <x:v>Research / verify</x:v>
      </x:c>
      <x:c r="G167" t="str">
        <x:v>https://westernusa.salvationarmy.org/</x:v>
      </x:c>
      <x:c r="H167" t="str">
        <x:v>Faith-based emergency aid resource; assistance varies by branch, county and funding cycle.</x:v>
      </x:c>
      <x:c r="I167" t="str">
        <x:v>Funding/appointments may open and close</x:v>
      </x:c>
      <x:c r="J167" t="str">
        <x:v>https://westernusa.salvationarmy.org/</x:v>
      </x:c>
      <x:c r="K167" t="str">
        <x:v>2026-07-09</x:v>
      </x:c>
      <x:c r="L167" t="str">
        <x:v>Medium</x:v>
      </x:c>
      <x:c r="M167" t="str">
        <x:v>salvation army,rent,utilities,emergency aid</x:v>
      </x:c>
      <x:c r="N167" t="str">
        <x:v>Framework row. Verify the specific local office, phone, application page, and open/closed status before using in a customer report.</x:v>
      </x:c>
    </x:row>
    <x:row r="168" ht="48" customHeight="1">
      <x:c r="A168" t="str">
        <x:v>Monterey</x:v>
      </x:c>
      <x:c r="B168" t="str">
        <x:v>Catholic Charities / Faith-Based Emergency Aid</x:v>
      </x:c>
      <x:c r="C168" t="str">
        <x:v>Monterey Catholic Charities / Faith-Based Emergency Aid</x:v>
      </x:c>
      <x:c r="D168" t="str">
        <x:v>County-specific resource slot / local program lookup</x:v>
      </x:c>
      <x:c r="E168" t="str">
        <x:v>https://www.catholiccharitiesusa.org/find-help/</x:v>
      </x:c>
      <x:c r="F168" t="str">
        <x:v>Research / verify</x:v>
      </x:c>
      <x:c r="G168" t="str">
        <x:v>https://www.catholiccharitiesusa.org/find-help/</x:v>
      </x:c>
      <x:c r="H168" t="str">
        <x:v>Faith-based rent, utility, family support, immigrant/refugee or emergency services resource where available.</x:v>
      </x:c>
      <x:c r="I168" t="str">
        <x:v>Funding/appointments may open and close</x:v>
      </x:c>
      <x:c r="J168" t="str">
        <x:v>https://www.catholiccharitiesusa.org/find-help/</x:v>
      </x:c>
      <x:c r="K168" t="str">
        <x:v>2026-07-09</x:v>
      </x:c>
      <x:c r="L168" t="str">
        <x:v>Medium</x:v>
      </x:c>
      <x:c r="M168" t="str">
        <x:v>catholic charities,faith based,rent,utilities</x:v>
      </x:c>
      <x:c r="N168" t="str">
        <x:v>Framework row. Verify the specific local office, phone, application page, and open/closed status before using in a customer report.</x:v>
      </x:c>
    </x:row>
    <x:row r="169" ht="48" customHeight="1">
      <x:c r="A169" t="str">
        <x:v>Monterey</x:v>
      </x:c>
      <x:c r="B169" t="str">
        <x:v>Community Action / Human Services</x:v>
      </x:c>
      <x:c r="C169" t="str">
        <x:v>Monterey Community Action / Human Services</x:v>
      </x:c>
      <x:c r="D169" t="str">
        <x:v>County-specific resource slot / local program lookup</x:v>
      </x:c>
      <x:c r="E169" t="str">
        <x:v>https://www.csd.ca.gov/Pages/FindServices.aspx</x:v>
      </x:c>
      <x:c r="F169" t="str">
        <x:v>Research / verify</x:v>
      </x:c>
      <x:c r="G169" t="str">
        <x:v>https://www.csd.ca.gov/Pages/FindServices.aspx</x:v>
      </x:c>
      <x:c r="H169" t="str">
        <x:v>Community action or human services agency for household stabilization, utilities, and possible rent support.</x:v>
      </x:c>
      <x:c r="I169" t="str">
        <x:v>Verify eligibility and county coverage</x:v>
      </x:c>
      <x:c r="J169" t="str">
        <x:v>https://www.csd.ca.gov/Pages/FindServices.aspx</x:v>
      </x:c>
      <x:c r="K169" t="str">
        <x:v>2026-07-09</x:v>
      </x:c>
      <x:c r="L169" t="str">
        <x:v>Medium</x:v>
      </x:c>
      <x:c r="M169" t="str">
        <x:v>community action,human services,liheap,rent,utilities</x:v>
      </x:c>
      <x:c r="N169" t="str">
        <x:v>Framework row. Verify the specific local office, phone, application page, and open/closed status before using in a customer report.</x:v>
      </x:c>
    </x:row>
    <x:row r="170" ht="48" customHeight="1">
      <x:c r="A170" t="str">
        <x:v>Monterey</x:v>
      </x:c>
      <x:c r="B170" t="str">
        <x:v>HUD-Approved Housing Counseling</x:v>
      </x:c>
      <x:c r="C170" t="str">
        <x:v>Monterey HUD-Approved Housing Counseling</x:v>
      </x:c>
      <x:c r="D170" t="str">
        <x:v>County-specific resource slot / local program lookup</x:v>
      </x:c>
      <x:c r="E170" t="str">
        <x:v>https://www.consumerfinance.gov/find-a-housing-counselor/</x:v>
      </x:c>
      <x:c r="F170" t="str">
        <x:v>Research / verify</x:v>
      </x:c>
      <x:c r="G170" t="str">
        <x:v>https://www.consumerfinance.gov/find-a-housing-counselor/</x:v>
      </x:c>
      <x:c r="H170" t="str">
        <x:v>HUD-approved counseling pathway for housing stability, budgeting, rental counseling or referrals.</x:v>
      </x:c>
      <x:c r="I170" t="str">
        <x:v>Use HUD/CFPB locator to verify provider</x:v>
      </x:c>
      <x:c r="J170" t="str">
        <x:v>https://www.consumerfinance.gov/find-a-housing-counselor/</x:v>
      </x:c>
      <x:c r="K170" t="str">
        <x:v>2026-07-09</x:v>
      </x:c>
      <x:c r="L170" t="str">
        <x:v>Medium</x:v>
      </x:c>
      <x:c r="M170" t="str">
        <x:v>housing counseling,hud,counselor,tenant support</x:v>
      </x:c>
      <x:c r="N170" t="str">
        <x:v>Framework row. Verify the specific local office, phone, application page, and open/closed status before using in a customer report.</x:v>
      </x:c>
    </x:row>
    <x:row r="171" ht="48" customHeight="1">
      <x:c r="A171" t="str">
        <x:v>Monterey</x:v>
      </x:c>
      <x:c r="B171" t="str">
        <x:v>Court Self-Help / Tenant Forms</x:v>
      </x:c>
      <x:c r="C171" t="str">
        <x:v>Monterey Court Self-Help / Tenant Forms</x:v>
      </x:c>
      <x:c r="D171" t="str">
        <x:v>County-specific resource slot / local program lookup</x:v>
      </x:c>
      <x:c r="E171" t="str">
        <x:v>https://selfhelp.courts.ca.gov/eviction-tenant</x:v>
      </x:c>
      <x:c r="F171" t="str">
        <x:v>Research / verify</x:v>
      </x:c>
      <x:c r="G171" t="str">
        <x:v>https://selfhelp.courts.ca.gov/eviction-tenant</x:v>
      </x:c>
      <x:c r="H171" t="str">
        <x:v>Court self-help, tenant forms, and procedural resources; not a substitute for legal advice.</x:v>
      </x:c>
      <x:c r="I171" t="str">
        <x:v>Verify county court instructions</x:v>
      </x:c>
      <x:c r="J171" t="str">
        <x:v>https://selfhelp.courts.ca.gov/eviction-tenant</x:v>
      </x:c>
      <x:c r="K171" t="str">
        <x:v>2026-07-09</x:v>
      </x:c>
      <x:c r="L171" t="str">
        <x:v>High</x:v>
      </x:c>
      <x:c r="M171" t="str">
        <x:v>court,self-help,forms,eviction,tenant response</x:v>
      </x:c>
      <x:c r="N171" t="str">
        <x:v>Framework row. Verify the specific local office, phone, application page, and open/closed status before using in a customer report.</x:v>
      </x:c>
    </x:row>
    <x:row r="172" ht="48" customHeight="1">
      <x:c r="A172" t="str">
        <x:v>Santa Barbara</x:v>
      </x:c>
      <x:c r="B172" t="str">
        <x:v>County Housing Department</x:v>
      </x:c>
      <x:c r="C172" t="str">
        <x:v>Santa Barbara County Housing Department</x:v>
      </x:c>
      <x:c r="D172" t="str">
        <x:v>County-specific resource slot / local program lookup</x:v>
      </x:c>
      <x:c r="E172" t="str">
        <x:v>https://www.hcd.ca.gov/</x:v>
      </x:c>
      <x:c r="F172" t="str">
        <x:v>Research / verify</x:v>
      </x:c>
      <x:c r="G172" t="str">
        <x:v>https://www.hcd.ca.gov/</x:v>
      </x:c>
      <x:c r="H172" t="str">
        <x:v>County housing/community development office; first stop for local program status.</x:v>
      </x:c>
      <x:c r="I172" t="str">
        <x:v>Verify local program status</x:v>
      </x:c>
      <x:c r="J172" t="str">
        <x:v>https://www.hcd.ca.gov/</x:v>
      </x:c>
      <x:c r="K172" t="str">
        <x:v>2026-07-09</x:v>
      </x:c>
      <x:c r="L172" t="str">
        <x:v>Core</x:v>
      </x:c>
      <x:c r="M172" t="str">
        <x:v>county,housing,program status</x:v>
      </x:c>
      <x:c r="N172" t="str">
        <x:v>Framework row. Verify the specific local office, phone, application page, and open/closed status before using in a customer report.</x:v>
      </x:c>
    </x:row>
    <x:row r="173" ht="48" customHeight="1">
      <x:c r="A173" t="str">
        <x:v>Santa Barbara</x:v>
      </x:c>
      <x:c r="B173" t="str">
        <x:v>Local Housing Authority</x:v>
      </x:c>
      <x:c r="C173" t="str">
        <x:v>Santa Barbara Local Housing Authority</x:v>
      </x:c>
      <x:c r="D173" t="str">
        <x:v>County-specific resource slot / local program lookup</x:v>
      </x:c>
      <x:c r="E173" t="str">
        <x:v>https://www.hud.gov/states/california/renting</x:v>
      </x:c>
      <x:c r="F173" t="str">
        <x:v>Research / verify</x:v>
      </x:c>
      <x:c r="G173" t="str">
        <x:v>https://www.hud.gov/states/california/renting</x:v>
      </x:c>
      <x:c r="H173" t="str">
        <x:v>Public housing/voucher agency or local housing authority resource; may not provide emergency rent grants.</x:v>
      </x:c>
      <x:c r="I173" t="str">
        <x:v>Verify service area and waitlist/intake status</x:v>
      </x:c>
      <x:c r="J173" t="str">
        <x:v>https://www.hud.gov/states/california/renting</x:v>
      </x:c>
      <x:c r="K173" t="str">
        <x:v>2026-07-09</x:v>
      </x:c>
      <x:c r="L173" t="str">
        <x:v>Core</x:v>
      </x:c>
      <x:c r="M173" t="str">
        <x:v>housing authority,subsidy,public housing,voucher</x:v>
      </x:c>
      <x:c r="N173" t="str">
        <x:v>Framework row. Verify the specific local office, phone, application page, and open/closed status before using in a customer report.</x:v>
      </x:c>
    </x:row>
    <x:row r="174" ht="48" customHeight="1">
      <x:c r="A174" t="str">
        <x:v>Santa Barbara</x:v>
      </x:c>
      <x:c r="B174" t="str">
        <x:v>Emergency Rental / Housing Assistance</x:v>
      </x:c>
      <x:c r="C174" t="str">
        <x:v>Santa Barbara Emergency Rental / Housing Assistance</x:v>
      </x:c>
      <x:c r="D174" t="str">
        <x:v>County-specific resource slot / local program lookup</x:v>
      </x:c>
      <x:c r="E174" t="str">
        <x:v>https://www.211ca.org/</x:v>
      </x:c>
      <x:c r="F174" t="str">
        <x:v>Research / verify</x:v>
      </x:c>
      <x:c r="G174" t="str">
        <x:v>https://www.211ca.org/</x:v>
      </x:c>
      <x:c r="H174" t="str">
        <x:v>Direct rent, deposit, relocation, homeless prevention, or housing stabilization resource where available; funding can open/close.</x:v>
      </x:c>
      <x:c r="I174" t="str">
        <x:v>Funding/appointments may open and close</x:v>
      </x:c>
      <x:c r="J174" t="str">
        <x:v>https://www.211ca.org/</x:v>
      </x:c>
      <x:c r="K174" t="str">
        <x:v>2026-07-09</x:v>
      </x:c>
      <x:c r="L174" t="str">
        <x:v>High</x:v>
      </x:c>
      <x:c r="M174" t="str">
        <x:v>rent,eviction,emergency,homeless prevention</x:v>
      </x:c>
      <x:c r="N174" t="str">
        <x:v>Framework row. Verify the specific local office, phone, application page, and open/closed status before using in a customer report.</x:v>
      </x:c>
    </x:row>
    <x:row r="175" ht="48" customHeight="1">
      <x:c r="A175" t="str">
        <x:v>Santa Barbara</x:v>
      </x:c>
      <x:c r="B175" t="str">
        <x:v>Legal Aid / Eviction Defense</x:v>
      </x:c>
      <x:c r="C175" t="str">
        <x:v>Santa Barbara Legal Aid / Eviction Defense</x:v>
      </x:c>
      <x:c r="D175" t="str">
        <x:v>County-specific resource slot / local program lookup</x:v>
      </x:c>
      <x:c r="E175" t="str">
        <x:v>https://www.lawhelpca.org/</x:v>
      </x:c>
      <x:c r="F175" t="str">
        <x:v>Research / verify</x:v>
      </x:c>
      <x:c r="G175" t="str">
        <x:v>https://www.lawhelpca.org/</x:v>
      </x:c>
      <x:c r="H175" t="str">
        <x:v>Free/low-cost tenant legal help or eviction resources for eligible tenants.</x:v>
      </x:c>
      <x:c r="I175" t="str">
        <x:v>Verify intake requirements</x:v>
      </x:c>
      <x:c r="J175" t="str">
        <x:v>https://www.lawhelpca.org/</x:v>
      </x:c>
      <x:c r="K175" t="str">
        <x:v>2026-07-09</x:v>
      </x:c>
      <x:c r="L175" t="str">
        <x:v>High</x:v>
      </x:c>
      <x:c r="M175" t="str">
        <x:v>legal aid,eviction,court,tenant rights</x:v>
      </x:c>
      <x:c r="N175" t="str">
        <x:v>Framework row. Verify the specific local office, phone, application page, and open/closed status before using in a customer report.</x:v>
      </x:c>
    </x:row>
    <x:row r="176" ht="48" customHeight="1">
      <x:c r="A176" t="str">
        <x:v>Santa Barbara</x:v>
      </x:c>
      <x:c r="B176" t="str">
        <x:v>United Way / 211</x:v>
      </x:c>
      <x:c r="C176" t="str">
        <x:v>Santa Barbara United Way / 211</x:v>
      </x:c>
      <x:c r="D176" t="str">
        <x:v>County-specific resource slot / local program lookup</x:v>
      </x:c>
      <x:c r="E176" t="str">
        <x:v>https://www.211ca.org/</x:v>
      </x:c>
      <x:c r="F176" t="str">
        <x:v>Research / verify</x:v>
      </x:c>
      <x:c r="G176" t="str">
        <x:v>https://www.211ca.org/</x:v>
      </x:c>
      <x:c r="H176" t="str">
        <x:v>Referral hub for rent, utilities, food, shelter and emergency resources.</x:v>
      </x:c>
      <x:c r="I176" t="str">
        <x:v>Verify local referral availability</x:v>
      </x:c>
      <x:c r="J176" t="str">
        <x:v>https://www.211ca.org/</x:v>
      </x:c>
      <x:c r="K176" t="str">
        <x:v>2026-07-09</x:v>
      </x:c>
      <x:c r="L176" t="str">
        <x:v>High</x:v>
      </x:c>
      <x:c r="M176" t="str">
        <x:v>211,referral,rent,utilities</x:v>
      </x:c>
      <x:c r="N176" t="str">
        <x:v>Framework row. Verify the specific local office, phone, application page, and open/closed status before using in a customer report.</x:v>
      </x:c>
    </x:row>
    <x:row r="177" ht="48" customHeight="1">
      <x:c r="A177" t="str">
        <x:v>Santa Barbara</x:v>
      </x:c>
      <x:c r="B177" t="str">
        <x:v>Salvation Army</x:v>
      </x:c>
      <x:c r="C177" t="str">
        <x:v>Santa Barbara Salvation Army</x:v>
      </x:c>
      <x:c r="D177" t="str">
        <x:v>County-specific resource slot / local program lookup</x:v>
      </x:c>
      <x:c r="E177" t="str">
        <x:v>https://westernusa.salvationarmy.org/</x:v>
      </x:c>
      <x:c r="F177" t="str">
        <x:v>Research / verify</x:v>
      </x:c>
      <x:c r="G177" t="str">
        <x:v>https://westernusa.salvationarmy.org/</x:v>
      </x:c>
      <x:c r="H177" t="str">
        <x:v>Faith-based emergency aid resource; assistance varies by branch, county and funding cycle.</x:v>
      </x:c>
      <x:c r="I177" t="str">
        <x:v>Funding/appointments may open and close</x:v>
      </x:c>
      <x:c r="J177" t="str">
        <x:v>https://westernusa.salvationarmy.org/</x:v>
      </x:c>
      <x:c r="K177" t="str">
        <x:v>2026-07-09</x:v>
      </x:c>
      <x:c r="L177" t="str">
        <x:v>Medium</x:v>
      </x:c>
      <x:c r="M177" t="str">
        <x:v>salvation army,rent,utilities,emergency aid</x:v>
      </x:c>
      <x:c r="N177" t="str">
        <x:v>Framework row. Verify the specific local office, phone, application page, and open/closed status before using in a customer report.</x:v>
      </x:c>
    </x:row>
    <x:row r="178" ht="48" customHeight="1">
      <x:c r="A178" t="str">
        <x:v>Santa Barbara</x:v>
      </x:c>
      <x:c r="B178" t="str">
        <x:v>Catholic Charities / Faith-Based Emergency Aid</x:v>
      </x:c>
      <x:c r="C178" t="str">
        <x:v>Santa Barbara Catholic Charities / Faith-Based Emergency Aid</x:v>
      </x:c>
      <x:c r="D178" t="str">
        <x:v>County-specific resource slot / local program lookup</x:v>
      </x:c>
      <x:c r="E178" t="str">
        <x:v>https://www.catholiccharitiesusa.org/find-help/</x:v>
      </x:c>
      <x:c r="F178" t="str">
        <x:v>Research / verify</x:v>
      </x:c>
      <x:c r="G178" t="str">
        <x:v>https://www.catholiccharitiesusa.org/find-help/</x:v>
      </x:c>
      <x:c r="H178" t="str">
        <x:v>Faith-based rent, utility, family support, immigrant/refugee or emergency services resource where available.</x:v>
      </x:c>
      <x:c r="I178" t="str">
        <x:v>Funding/appointments may open and close</x:v>
      </x:c>
      <x:c r="J178" t="str">
        <x:v>https://www.catholiccharitiesusa.org/find-help/</x:v>
      </x:c>
      <x:c r="K178" t="str">
        <x:v>2026-07-09</x:v>
      </x:c>
      <x:c r="L178" t="str">
        <x:v>Medium</x:v>
      </x:c>
      <x:c r="M178" t="str">
        <x:v>catholic charities,faith based,rent,utilities</x:v>
      </x:c>
      <x:c r="N178" t="str">
        <x:v>Framework row. Verify the specific local office, phone, application page, and open/closed status before using in a customer report.</x:v>
      </x:c>
    </x:row>
    <x:row r="179" ht="48" customHeight="1">
      <x:c r="A179" t="str">
        <x:v>Santa Barbara</x:v>
      </x:c>
      <x:c r="B179" t="str">
        <x:v>Community Action / Human Services</x:v>
      </x:c>
      <x:c r="C179" t="str">
        <x:v>Santa Barbara Community Action / Human Services</x:v>
      </x:c>
      <x:c r="D179" t="str">
        <x:v>County-specific resource slot / local program lookup</x:v>
      </x:c>
      <x:c r="E179" t="str">
        <x:v>https://www.csd.ca.gov/Pages/FindServices.aspx</x:v>
      </x:c>
      <x:c r="F179" t="str">
        <x:v>Research / verify</x:v>
      </x:c>
      <x:c r="G179" t="str">
        <x:v>https://www.csd.ca.gov/Pages/FindServices.aspx</x:v>
      </x:c>
      <x:c r="H179" t="str">
        <x:v>Community action or human services agency for household stabilization, utilities, and possible rent support.</x:v>
      </x:c>
      <x:c r="I179" t="str">
        <x:v>Verify eligibility and county coverage</x:v>
      </x:c>
      <x:c r="J179" t="str">
        <x:v>https://www.csd.ca.gov/Pages/FindServices.aspx</x:v>
      </x:c>
      <x:c r="K179" t="str">
        <x:v>2026-07-09</x:v>
      </x:c>
      <x:c r="L179" t="str">
        <x:v>Medium</x:v>
      </x:c>
      <x:c r="M179" t="str">
        <x:v>community action,human services,liheap,rent,utilities</x:v>
      </x:c>
      <x:c r="N179" t="str">
        <x:v>Framework row. Verify the specific local office, phone, application page, and open/closed status before using in a customer report.</x:v>
      </x:c>
    </x:row>
    <x:row r="180" ht="48" customHeight="1">
      <x:c r="A180" t="str">
        <x:v>Santa Barbara</x:v>
      </x:c>
      <x:c r="B180" t="str">
        <x:v>HUD-Approved Housing Counseling</x:v>
      </x:c>
      <x:c r="C180" t="str">
        <x:v>Santa Barbara HUD-Approved Housing Counseling</x:v>
      </x:c>
      <x:c r="D180" t="str">
        <x:v>County-specific resource slot / local program lookup</x:v>
      </x:c>
      <x:c r="E180" t="str">
        <x:v>https://www.consumerfinance.gov/find-a-housing-counselor/</x:v>
      </x:c>
      <x:c r="F180" t="str">
        <x:v>Research / verify</x:v>
      </x:c>
      <x:c r="G180" t="str">
        <x:v>https://www.consumerfinance.gov/find-a-housing-counselor/</x:v>
      </x:c>
      <x:c r="H180" t="str">
        <x:v>HUD-approved counseling pathway for housing stability, budgeting, rental counseling or referrals.</x:v>
      </x:c>
      <x:c r="I180" t="str">
        <x:v>Use HUD/CFPB locator to verify provider</x:v>
      </x:c>
      <x:c r="J180" t="str">
        <x:v>https://www.consumerfinance.gov/find-a-housing-counselor/</x:v>
      </x:c>
      <x:c r="K180" t="str">
        <x:v>2026-07-09</x:v>
      </x:c>
      <x:c r="L180" t="str">
        <x:v>Medium</x:v>
      </x:c>
      <x:c r="M180" t="str">
        <x:v>housing counseling,hud,counselor,tenant support</x:v>
      </x:c>
      <x:c r="N180" t="str">
        <x:v>Framework row. Verify the specific local office, phone, application page, and open/closed status before using in a customer report.</x:v>
      </x:c>
    </x:row>
    <x:row r="181" ht="48" customHeight="1">
      <x:c r="A181" t="str">
        <x:v>Santa Barbara</x:v>
      </x:c>
      <x:c r="B181" t="str">
        <x:v>Court Self-Help / Tenant Forms</x:v>
      </x:c>
      <x:c r="C181" t="str">
        <x:v>Santa Barbara Court Self-Help / Tenant Forms</x:v>
      </x:c>
      <x:c r="D181" t="str">
        <x:v>County-specific resource slot / local program lookup</x:v>
      </x:c>
      <x:c r="E181" t="str">
        <x:v>https://selfhelp.courts.ca.gov/eviction-tenant</x:v>
      </x:c>
      <x:c r="F181" t="str">
        <x:v>Research / verify</x:v>
      </x:c>
      <x:c r="G181" t="str">
        <x:v>https://selfhelp.courts.ca.gov/eviction-tenant</x:v>
      </x:c>
      <x:c r="H181" t="str">
        <x:v>Court self-help, tenant forms, and procedural resources; not a substitute for legal advice.</x:v>
      </x:c>
      <x:c r="I181" t="str">
        <x:v>Verify county court instructions</x:v>
      </x:c>
      <x:c r="J181" t="str">
        <x:v>https://selfhelp.courts.ca.gov/eviction-tenant</x:v>
      </x:c>
      <x:c r="K181" t="str">
        <x:v>2026-07-09</x:v>
      </x:c>
      <x:c r="L181" t="str">
        <x:v>High</x:v>
      </x:c>
      <x:c r="M181" t="str">
        <x:v>court,self-help,forms,eviction,tenant response</x:v>
      </x:c>
      <x:c r="N181" t="str">
        <x:v>Framework row. Verify the specific local office, phone, application page, and open/closed status before using in a customer report.</x:v>
      </x:c>
    </x:row>
    <x:row r="182" ht="48" customHeight="1">
      <x:c r="A182" t="str">
        <x:v>Tulare</x:v>
      </x:c>
      <x:c r="B182" t="str">
        <x:v>County Housing Department</x:v>
      </x:c>
      <x:c r="C182" t="str">
        <x:v>Tulare County Housing Department</x:v>
      </x:c>
      <x:c r="D182" t="str">
        <x:v>County-specific resource slot / local program lookup</x:v>
      </x:c>
      <x:c r="E182" t="str">
        <x:v>https://www.hcd.ca.gov/</x:v>
      </x:c>
      <x:c r="F182" t="str">
        <x:v>Research / verify</x:v>
      </x:c>
      <x:c r="G182" t="str">
        <x:v>https://www.hcd.ca.gov/</x:v>
      </x:c>
      <x:c r="H182" t="str">
        <x:v>County housing/community development office; first stop for local program status.</x:v>
      </x:c>
      <x:c r="I182" t="str">
        <x:v>Verify local program status</x:v>
      </x:c>
      <x:c r="J182" t="str">
        <x:v>https://www.hcd.ca.gov/</x:v>
      </x:c>
      <x:c r="K182" t="str">
        <x:v>2026-07-09</x:v>
      </x:c>
      <x:c r="L182" t="str">
        <x:v>Core</x:v>
      </x:c>
      <x:c r="M182" t="str">
        <x:v>county,housing,program status</x:v>
      </x:c>
      <x:c r="N182" t="str">
        <x:v>Framework row. Verify the specific local office, phone, application page, and open/closed status before using in a customer report.</x:v>
      </x:c>
    </x:row>
    <x:row r="183" ht="48" customHeight="1">
      <x:c r="A183" t="str">
        <x:v>Tulare</x:v>
      </x:c>
      <x:c r="B183" t="str">
        <x:v>Local Housing Authority</x:v>
      </x:c>
      <x:c r="C183" t="str">
        <x:v>Tulare Local Housing Authority</x:v>
      </x:c>
      <x:c r="D183" t="str">
        <x:v>County-specific resource slot / local program lookup</x:v>
      </x:c>
      <x:c r="E183" t="str">
        <x:v>https://www.hud.gov/states/california/renting</x:v>
      </x:c>
      <x:c r="F183" t="str">
        <x:v>Research / verify</x:v>
      </x:c>
      <x:c r="G183" t="str">
        <x:v>https://www.hud.gov/states/california/renting</x:v>
      </x:c>
      <x:c r="H183" t="str">
        <x:v>Public housing/voucher agency or local housing authority resource; may not provide emergency rent grants.</x:v>
      </x:c>
      <x:c r="I183" t="str">
        <x:v>Verify service area and waitlist/intake status</x:v>
      </x:c>
      <x:c r="J183" t="str">
        <x:v>https://www.hud.gov/states/california/renting</x:v>
      </x:c>
      <x:c r="K183" t="str">
        <x:v>2026-07-09</x:v>
      </x:c>
      <x:c r="L183" t="str">
        <x:v>Core</x:v>
      </x:c>
      <x:c r="M183" t="str">
        <x:v>housing authority,subsidy,public housing,voucher</x:v>
      </x:c>
      <x:c r="N183" t="str">
        <x:v>Framework row. Verify the specific local office, phone, application page, and open/closed status before using in a customer report.</x:v>
      </x:c>
    </x:row>
    <x:row r="184" ht="48" customHeight="1">
      <x:c r="A184" t="str">
        <x:v>Tulare</x:v>
      </x:c>
      <x:c r="B184" t="str">
        <x:v>Emergency Rental / Housing Assistance</x:v>
      </x:c>
      <x:c r="C184" t="str">
        <x:v>Tulare Emergency Rental / Housing Assistance</x:v>
      </x:c>
      <x:c r="D184" t="str">
        <x:v>County-specific resource slot / local program lookup</x:v>
      </x:c>
      <x:c r="E184" t="str">
        <x:v>https://www.211ca.org/</x:v>
      </x:c>
      <x:c r="F184" t="str">
        <x:v>Research / verify</x:v>
      </x:c>
      <x:c r="G184" t="str">
        <x:v>https://www.211ca.org/</x:v>
      </x:c>
      <x:c r="H184" t="str">
        <x:v>Direct rent, deposit, relocation, homeless prevention, or housing stabilization resource where available; funding can open/close.</x:v>
      </x:c>
      <x:c r="I184" t="str">
        <x:v>Funding/appointments may open and close</x:v>
      </x:c>
      <x:c r="J184" t="str">
        <x:v>https://www.211ca.org/</x:v>
      </x:c>
      <x:c r="K184" t="str">
        <x:v>2026-07-09</x:v>
      </x:c>
      <x:c r="L184" t="str">
        <x:v>High</x:v>
      </x:c>
      <x:c r="M184" t="str">
        <x:v>rent,eviction,emergency,homeless prevention</x:v>
      </x:c>
      <x:c r="N184" t="str">
        <x:v>Framework row. Verify the specific local office, phone, application page, and open/closed status before using in a customer report.</x:v>
      </x:c>
    </x:row>
    <x:row r="185" ht="48" customHeight="1">
      <x:c r="A185" t="str">
        <x:v>Tulare</x:v>
      </x:c>
      <x:c r="B185" t="str">
        <x:v>Legal Aid / Eviction Defense</x:v>
      </x:c>
      <x:c r="C185" t="str">
        <x:v>Tulare Legal Aid / Eviction Defense</x:v>
      </x:c>
      <x:c r="D185" t="str">
        <x:v>County-specific resource slot / local program lookup</x:v>
      </x:c>
      <x:c r="E185" t="str">
        <x:v>https://www.lawhelpca.org/</x:v>
      </x:c>
      <x:c r="F185" t="str">
        <x:v>Research / verify</x:v>
      </x:c>
      <x:c r="G185" t="str">
        <x:v>https://www.lawhelpca.org/</x:v>
      </x:c>
      <x:c r="H185" t="str">
        <x:v>Free/low-cost tenant legal help or eviction resources for eligible tenants.</x:v>
      </x:c>
      <x:c r="I185" t="str">
        <x:v>Verify intake requirements</x:v>
      </x:c>
      <x:c r="J185" t="str">
        <x:v>https://www.lawhelpca.org/</x:v>
      </x:c>
      <x:c r="K185" t="str">
        <x:v>2026-07-09</x:v>
      </x:c>
      <x:c r="L185" t="str">
        <x:v>High</x:v>
      </x:c>
      <x:c r="M185" t="str">
        <x:v>legal aid,eviction,court,tenant rights</x:v>
      </x:c>
      <x:c r="N185" t="str">
        <x:v>Framework row. Verify the specific local office, phone, application page, and open/closed status before using in a customer report.</x:v>
      </x:c>
    </x:row>
    <x:row r="186" ht="48" customHeight="1">
      <x:c r="A186" t="str">
        <x:v>Tulare</x:v>
      </x:c>
      <x:c r="B186" t="str">
        <x:v>United Way / 211</x:v>
      </x:c>
      <x:c r="C186" t="str">
        <x:v>Tulare United Way / 211</x:v>
      </x:c>
      <x:c r="D186" t="str">
        <x:v>County-specific resource slot / local program lookup</x:v>
      </x:c>
      <x:c r="E186" t="str">
        <x:v>https://www.211ca.org/</x:v>
      </x:c>
      <x:c r="F186" t="str">
        <x:v>Research / verify</x:v>
      </x:c>
      <x:c r="G186" t="str">
        <x:v>https://www.211ca.org/</x:v>
      </x:c>
      <x:c r="H186" t="str">
        <x:v>Referral hub for rent, utilities, food, shelter and emergency resources.</x:v>
      </x:c>
      <x:c r="I186" t="str">
        <x:v>Verify local referral availability</x:v>
      </x:c>
      <x:c r="J186" t="str">
        <x:v>https://www.211ca.org/</x:v>
      </x:c>
      <x:c r="K186" t="str">
        <x:v>2026-07-09</x:v>
      </x:c>
      <x:c r="L186" t="str">
        <x:v>High</x:v>
      </x:c>
      <x:c r="M186" t="str">
        <x:v>211,referral,rent,utilities</x:v>
      </x:c>
      <x:c r="N186" t="str">
        <x:v>Framework row. Verify the specific local office, phone, application page, and open/closed status before using in a customer report.</x:v>
      </x:c>
    </x:row>
    <x:row r="187" ht="48" customHeight="1">
      <x:c r="A187" t="str">
        <x:v>Tulare</x:v>
      </x:c>
      <x:c r="B187" t="str">
        <x:v>Salvation Army</x:v>
      </x:c>
      <x:c r="C187" t="str">
        <x:v>Tulare Salvation Army</x:v>
      </x:c>
      <x:c r="D187" t="str">
        <x:v>County-specific resource slot / local program lookup</x:v>
      </x:c>
      <x:c r="E187" t="str">
        <x:v>https://westernusa.salvationarmy.org/</x:v>
      </x:c>
      <x:c r="F187" t="str">
        <x:v>Research / verify</x:v>
      </x:c>
      <x:c r="G187" t="str">
        <x:v>https://westernusa.salvationarmy.org/</x:v>
      </x:c>
      <x:c r="H187" t="str">
        <x:v>Faith-based emergency aid resource; assistance varies by branch, county and funding cycle.</x:v>
      </x:c>
      <x:c r="I187" t="str">
        <x:v>Funding/appointments may open and close</x:v>
      </x:c>
      <x:c r="J187" t="str">
        <x:v>https://westernusa.salvationarmy.org/</x:v>
      </x:c>
      <x:c r="K187" t="str">
        <x:v>2026-07-09</x:v>
      </x:c>
      <x:c r="L187" t="str">
        <x:v>Medium</x:v>
      </x:c>
      <x:c r="M187" t="str">
        <x:v>salvation army,rent,utilities,emergency aid</x:v>
      </x:c>
      <x:c r="N187" t="str">
        <x:v>Framework row. Verify the specific local office, phone, application page, and open/closed status before using in a customer report.</x:v>
      </x:c>
    </x:row>
    <x:row r="188" ht="48" customHeight="1">
      <x:c r="A188" t="str">
        <x:v>Tulare</x:v>
      </x:c>
      <x:c r="B188" t="str">
        <x:v>Catholic Charities / Faith-Based Emergency Aid</x:v>
      </x:c>
      <x:c r="C188" t="str">
        <x:v>Tulare Catholic Charities / Faith-Based Emergency Aid</x:v>
      </x:c>
      <x:c r="D188" t="str">
        <x:v>County-specific resource slot / local program lookup</x:v>
      </x:c>
      <x:c r="E188" t="str">
        <x:v>https://www.catholiccharitiesusa.org/find-help/</x:v>
      </x:c>
      <x:c r="F188" t="str">
        <x:v>Research / verify</x:v>
      </x:c>
      <x:c r="G188" t="str">
        <x:v>https://www.catholiccharitiesusa.org/find-help/</x:v>
      </x:c>
      <x:c r="H188" t="str">
        <x:v>Faith-based rent, utility, family support, immigrant/refugee or emergency services resource where available.</x:v>
      </x:c>
      <x:c r="I188" t="str">
        <x:v>Funding/appointments may open and close</x:v>
      </x:c>
      <x:c r="J188" t="str">
        <x:v>https://www.catholiccharitiesusa.org/find-help/</x:v>
      </x:c>
      <x:c r="K188" t="str">
        <x:v>2026-07-09</x:v>
      </x:c>
      <x:c r="L188" t="str">
        <x:v>Medium</x:v>
      </x:c>
      <x:c r="M188" t="str">
        <x:v>catholic charities,faith based,rent,utilities</x:v>
      </x:c>
      <x:c r="N188" t="str">
        <x:v>Framework row. Verify the specific local office, phone, application page, and open/closed status before using in a customer report.</x:v>
      </x:c>
    </x:row>
    <x:row r="189" ht="48" customHeight="1">
      <x:c r="A189" t="str">
        <x:v>Tulare</x:v>
      </x:c>
      <x:c r="B189" t="str">
        <x:v>Community Action / Human Services</x:v>
      </x:c>
      <x:c r="C189" t="str">
        <x:v>Tulare Community Action / Human Services</x:v>
      </x:c>
      <x:c r="D189" t="str">
        <x:v>County-specific resource slot / local program lookup</x:v>
      </x:c>
      <x:c r="E189" t="str">
        <x:v>https://www.csd.ca.gov/Pages/FindServices.aspx</x:v>
      </x:c>
      <x:c r="F189" t="str">
        <x:v>Research / verify</x:v>
      </x:c>
      <x:c r="G189" t="str">
        <x:v>https://www.csd.ca.gov/Pages/FindServices.aspx</x:v>
      </x:c>
      <x:c r="H189" t="str">
        <x:v>Community action or human services agency for household stabilization, utilities, and possible rent support.</x:v>
      </x:c>
      <x:c r="I189" t="str">
        <x:v>Verify eligibility and county coverage</x:v>
      </x:c>
      <x:c r="J189" t="str">
        <x:v>https://www.csd.ca.gov/Pages/FindServices.aspx</x:v>
      </x:c>
      <x:c r="K189" t="str">
        <x:v>2026-07-09</x:v>
      </x:c>
      <x:c r="L189" t="str">
        <x:v>Medium</x:v>
      </x:c>
      <x:c r="M189" t="str">
        <x:v>community action,human services,liheap,rent,utilities</x:v>
      </x:c>
      <x:c r="N189" t="str">
        <x:v>Framework row. Verify the specific local office, phone, application page, and open/closed status before using in a customer report.</x:v>
      </x:c>
    </x:row>
    <x:row r="190" ht="48" customHeight="1">
      <x:c r="A190" t="str">
        <x:v>Tulare</x:v>
      </x:c>
      <x:c r="B190" t="str">
        <x:v>HUD-Approved Housing Counseling</x:v>
      </x:c>
      <x:c r="C190" t="str">
        <x:v>Tulare HUD-Approved Housing Counseling</x:v>
      </x:c>
      <x:c r="D190" t="str">
        <x:v>County-specific resource slot / local program lookup</x:v>
      </x:c>
      <x:c r="E190" t="str">
        <x:v>https://www.consumerfinance.gov/find-a-housing-counselor/</x:v>
      </x:c>
      <x:c r="F190" t="str">
        <x:v>Research / verify</x:v>
      </x:c>
      <x:c r="G190" t="str">
        <x:v>https://www.consumerfinance.gov/find-a-housing-counselor/</x:v>
      </x:c>
      <x:c r="H190" t="str">
        <x:v>HUD-approved counseling pathway for housing stability, budgeting, rental counseling or referrals.</x:v>
      </x:c>
      <x:c r="I190" t="str">
        <x:v>Use HUD/CFPB locator to verify provider</x:v>
      </x:c>
      <x:c r="J190" t="str">
        <x:v>https://www.consumerfinance.gov/find-a-housing-counselor/</x:v>
      </x:c>
      <x:c r="K190" t="str">
        <x:v>2026-07-09</x:v>
      </x:c>
      <x:c r="L190" t="str">
        <x:v>Medium</x:v>
      </x:c>
      <x:c r="M190" t="str">
        <x:v>housing counseling,hud,counselor,tenant support</x:v>
      </x:c>
      <x:c r="N190" t="str">
        <x:v>Framework row. Verify the specific local office, phone, application page, and open/closed status before using in a customer report.</x:v>
      </x:c>
    </x:row>
    <x:row r="191" ht="48" customHeight="1">
      <x:c r="A191" t="str">
        <x:v>Tulare</x:v>
      </x:c>
      <x:c r="B191" t="str">
        <x:v>Court Self-Help / Tenant Forms</x:v>
      </x:c>
      <x:c r="C191" t="str">
        <x:v>Tulare Court Self-Help / Tenant Forms</x:v>
      </x:c>
      <x:c r="D191" t="str">
        <x:v>County-specific resource slot / local program lookup</x:v>
      </x:c>
      <x:c r="E191" t="str">
        <x:v>https://selfhelp.courts.ca.gov/eviction-tenant</x:v>
      </x:c>
      <x:c r="F191" t="str">
        <x:v>Research / verify</x:v>
      </x:c>
      <x:c r="G191" t="str">
        <x:v>https://selfhelp.courts.ca.gov/eviction-tenant</x:v>
      </x:c>
      <x:c r="H191" t="str">
        <x:v>Court self-help, tenant forms, and procedural resources; not a substitute for legal advice.</x:v>
      </x:c>
      <x:c r="I191" t="str">
        <x:v>Verify county court instructions</x:v>
      </x:c>
      <x:c r="J191" t="str">
        <x:v>https://selfhelp.courts.ca.gov/eviction-tenant</x:v>
      </x:c>
      <x:c r="K191" t="str">
        <x:v>2026-07-09</x:v>
      </x:c>
      <x:c r="L191" t="str">
        <x:v>High</x:v>
      </x:c>
      <x:c r="M191" t="str">
        <x:v>court,self-help,forms,eviction,tenant response</x:v>
      </x:c>
      <x:c r="N191" t="str">
        <x:v>Framework row. Verify the specific local office, phone, application page, and open/closed status before using in a customer report.</x:v>
      </x:c>
    </x:row>
    <x:row r="192" ht="48" customHeight="1">
      <x:c r="A192" t="str">
        <x:v>San Mateo</x:v>
      </x:c>
      <x:c r="B192" t="str">
        <x:v>County Housing Department</x:v>
      </x:c>
      <x:c r="C192" t="str">
        <x:v>San Mateo County Housing Department</x:v>
      </x:c>
      <x:c r="D192" t="str">
        <x:v>County-specific resource slot / local program lookup</x:v>
      </x:c>
      <x:c r="E192" t="str">
        <x:v>https://www.hcd.ca.gov/</x:v>
      </x:c>
      <x:c r="F192" t="str">
        <x:v>Research / verify</x:v>
      </x:c>
      <x:c r="G192" t="str">
        <x:v>https://www.hcd.ca.gov/</x:v>
      </x:c>
      <x:c r="H192" t="str">
        <x:v>County housing/community development office; first stop for local program status.</x:v>
      </x:c>
      <x:c r="I192" t="str">
        <x:v>Verify local program status</x:v>
      </x:c>
      <x:c r="J192" t="str">
        <x:v>https://www.hcd.ca.gov/</x:v>
      </x:c>
      <x:c r="K192" t="str">
        <x:v>2026-07-09</x:v>
      </x:c>
      <x:c r="L192" t="str">
        <x:v>Core</x:v>
      </x:c>
      <x:c r="M192" t="str">
        <x:v>county,housing,program status</x:v>
      </x:c>
      <x:c r="N192" t="str">
        <x:v>Framework row. Verify the specific local office, phone, application page, and open/closed status before using in a customer report.</x:v>
      </x:c>
    </x:row>
    <x:row r="193" ht="48" customHeight="1">
      <x:c r="A193" t="str">
        <x:v>San Mateo</x:v>
      </x:c>
      <x:c r="B193" t="str">
        <x:v>Local Housing Authority</x:v>
      </x:c>
      <x:c r="C193" t="str">
        <x:v>San Mateo Local Housing Authority</x:v>
      </x:c>
      <x:c r="D193" t="str">
        <x:v>County-specific resource slot / local program lookup</x:v>
      </x:c>
      <x:c r="E193" t="str">
        <x:v>https://www.hud.gov/states/california/renting</x:v>
      </x:c>
      <x:c r="F193" t="str">
        <x:v>Research / verify</x:v>
      </x:c>
      <x:c r="G193" t="str">
        <x:v>https://www.hud.gov/states/california/renting</x:v>
      </x:c>
      <x:c r="H193" t="str">
        <x:v>Public housing/voucher agency or local housing authority resource; may not provide emergency rent grants.</x:v>
      </x:c>
      <x:c r="I193" t="str">
        <x:v>Verify service area and waitlist/intake status</x:v>
      </x:c>
      <x:c r="J193" t="str">
        <x:v>https://www.hud.gov/states/california/renting</x:v>
      </x:c>
      <x:c r="K193" t="str">
        <x:v>2026-07-09</x:v>
      </x:c>
      <x:c r="L193" t="str">
        <x:v>Core</x:v>
      </x:c>
      <x:c r="M193" t="str">
        <x:v>housing authority,subsidy,public housing,voucher</x:v>
      </x:c>
      <x:c r="N193" t="str">
        <x:v>Framework row. Verify the specific local office, phone, application page, and open/closed status before using in a customer report.</x:v>
      </x:c>
    </x:row>
    <x:row r="194" ht="48" customHeight="1">
      <x:c r="A194" t="str">
        <x:v>San Mateo</x:v>
      </x:c>
      <x:c r="B194" t="str">
        <x:v>Emergency Rental / Housing Assistance</x:v>
      </x:c>
      <x:c r="C194" t="str">
        <x:v>San Mateo Emergency Rental / Housing Assistance</x:v>
      </x:c>
      <x:c r="D194" t="str">
        <x:v>County-specific resource slot / local program lookup</x:v>
      </x:c>
      <x:c r="E194" t="str">
        <x:v>https://www.211ca.org/</x:v>
      </x:c>
      <x:c r="F194" t="str">
        <x:v>Research / verify</x:v>
      </x:c>
      <x:c r="G194" t="str">
        <x:v>https://www.211ca.org/</x:v>
      </x:c>
      <x:c r="H194" t="str">
        <x:v>Direct rent, deposit, relocation, homeless prevention, or housing stabilization resource where available; funding can open/close.</x:v>
      </x:c>
      <x:c r="I194" t="str">
        <x:v>Funding/appointments may open and close</x:v>
      </x:c>
      <x:c r="J194" t="str">
        <x:v>https://www.211ca.org/</x:v>
      </x:c>
      <x:c r="K194" t="str">
        <x:v>2026-07-09</x:v>
      </x:c>
      <x:c r="L194" t="str">
        <x:v>High</x:v>
      </x:c>
      <x:c r="M194" t="str">
        <x:v>rent,eviction,emergency,homeless prevention</x:v>
      </x:c>
      <x:c r="N194" t="str">
        <x:v>Framework row. Verify the specific local office, phone, application page, and open/closed status before using in a customer report.</x:v>
      </x:c>
    </x:row>
    <x:row r="195" ht="48" customHeight="1">
      <x:c r="A195" t="str">
        <x:v>San Mateo</x:v>
      </x:c>
      <x:c r="B195" t="str">
        <x:v>Legal Aid / Eviction Defense</x:v>
      </x:c>
      <x:c r="C195" t="str">
        <x:v>San Mateo Legal Aid / Eviction Defense</x:v>
      </x:c>
      <x:c r="D195" t="str">
        <x:v>County-specific resource slot / local program lookup</x:v>
      </x:c>
      <x:c r="E195" t="str">
        <x:v>https://www.lawhelpca.org/</x:v>
      </x:c>
      <x:c r="F195" t="str">
        <x:v>Research / verify</x:v>
      </x:c>
      <x:c r="G195" t="str">
        <x:v>https://www.lawhelpca.org/</x:v>
      </x:c>
      <x:c r="H195" t="str">
        <x:v>Free/low-cost tenant legal help or eviction resources for eligible tenants.</x:v>
      </x:c>
      <x:c r="I195" t="str">
        <x:v>Verify intake requirements</x:v>
      </x:c>
      <x:c r="J195" t="str">
        <x:v>https://www.lawhelpca.org/</x:v>
      </x:c>
      <x:c r="K195" t="str">
        <x:v>2026-07-09</x:v>
      </x:c>
      <x:c r="L195" t="str">
        <x:v>High</x:v>
      </x:c>
      <x:c r="M195" t="str">
        <x:v>legal aid,eviction,court,tenant rights</x:v>
      </x:c>
      <x:c r="N195" t="str">
        <x:v>Framework row. Verify the specific local office, phone, application page, and open/closed status before using in a customer report.</x:v>
      </x:c>
    </x:row>
    <x:row r="196" ht="48" customHeight="1">
      <x:c r="A196" t="str">
        <x:v>San Mateo</x:v>
      </x:c>
      <x:c r="B196" t="str">
        <x:v>United Way / 211</x:v>
      </x:c>
      <x:c r="C196" t="str">
        <x:v>San Mateo United Way / 211</x:v>
      </x:c>
      <x:c r="D196" t="str">
        <x:v>County-specific resource slot / local program lookup</x:v>
      </x:c>
      <x:c r="E196" t="str">
        <x:v>https://www.211ca.org/</x:v>
      </x:c>
      <x:c r="F196" t="str">
        <x:v>Research / verify</x:v>
      </x:c>
      <x:c r="G196" t="str">
        <x:v>https://www.211ca.org/</x:v>
      </x:c>
      <x:c r="H196" t="str">
        <x:v>Referral hub for rent, utilities, food, shelter and emergency resources.</x:v>
      </x:c>
      <x:c r="I196" t="str">
        <x:v>Verify local referral availability</x:v>
      </x:c>
      <x:c r="J196" t="str">
        <x:v>https://www.211ca.org/</x:v>
      </x:c>
      <x:c r="K196" t="str">
        <x:v>2026-07-09</x:v>
      </x:c>
      <x:c r="L196" t="str">
        <x:v>High</x:v>
      </x:c>
      <x:c r="M196" t="str">
        <x:v>211,referral,rent,utilities</x:v>
      </x:c>
      <x:c r="N196" t="str">
        <x:v>Framework row. Verify the specific local office, phone, application page, and open/closed status before using in a customer report.</x:v>
      </x:c>
    </x:row>
    <x:row r="197" ht="48" customHeight="1">
      <x:c r="A197" t="str">
        <x:v>San Mateo</x:v>
      </x:c>
      <x:c r="B197" t="str">
        <x:v>Salvation Army</x:v>
      </x:c>
      <x:c r="C197" t="str">
        <x:v>San Mateo Salvation Army</x:v>
      </x:c>
      <x:c r="D197" t="str">
        <x:v>County-specific resource slot / local program lookup</x:v>
      </x:c>
      <x:c r="E197" t="str">
        <x:v>https://westernusa.salvationarmy.org/</x:v>
      </x:c>
      <x:c r="F197" t="str">
        <x:v>Research / verify</x:v>
      </x:c>
      <x:c r="G197" t="str">
        <x:v>https://westernusa.salvationarmy.org/</x:v>
      </x:c>
      <x:c r="H197" t="str">
        <x:v>Faith-based emergency aid resource; assistance varies by branch, county and funding cycle.</x:v>
      </x:c>
      <x:c r="I197" t="str">
        <x:v>Funding/appointments may open and close</x:v>
      </x:c>
      <x:c r="J197" t="str">
        <x:v>https://westernusa.salvationarmy.org/</x:v>
      </x:c>
      <x:c r="K197" t="str">
        <x:v>2026-07-09</x:v>
      </x:c>
      <x:c r="L197" t="str">
        <x:v>Medium</x:v>
      </x:c>
      <x:c r="M197" t="str">
        <x:v>salvation army,rent,utilities,emergency aid</x:v>
      </x:c>
      <x:c r="N197" t="str">
        <x:v>Framework row. Verify the specific local office, phone, application page, and open/closed status before using in a customer report.</x:v>
      </x:c>
    </x:row>
    <x:row r="198" ht="48" customHeight="1">
      <x:c r="A198" t="str">
        <x:v>San Mateo</x:v>
      </x:c>
      <x:c r="B198" t="str">
        <x:v>Catholic Charities / Faith-Based Emergency Aid</x:v>
      </x:c>
      <x:c r="C198" t="str">
        <x:v>San Mateo Catholic Charities / Faith-Based Emergency Aid</x:v>
      </x:c>
      <x:c r="D198" t="str">
        <x:v>County-specific resource slot / local program lookup</x:v>
      </x:c>
      <x:c r="E198" t="str">
        <x:v>https://www.catholiccharitiesusa.org/find-help/</x:v>
      </x:c>
      <x:c r="F198" t="str">
        <x:v>Research / verify</x:v>
      </x:c>
      <x:c r="G198" t="str">
        <x:v>https://www.catholiccharitiesusa.org/find-help/</x:v>
      </x:c>
      <x:c r="H198" t="str">
        <x:v>Faith-based rent, utility, family support, immigrant/refugee or emergency services resource where available.</x:v>
      </x:c>
      <x:c r="I198" t="str">
        <x:v>Funding/appointments may open and close</x:v>
      </x:c>
      <x:c r="J198" t="str">
        <x:v>https://www.catholiccharitiesusa.org/find-help/</x:v>
      </x:c>
      <x:c r="K198" t="str">
        <x:v>2026-07-09</x:v>
      </x:c>
      <x:c r="L198" t="str">
        <x:v>Medium</x:v>
      </x:c>
      <x:c r="M198" t="str">
        <x:v>catholic charities,faith based,rent,utilities</x:v>
      </x:c>
      <x:c r="N198" t="str">
        <x:v>Framework row. Verify the specific local office, phone, application page, and open/closed status before using in a customer report.</x:v>
      </x:c>
    </x:row>
    <x:row r="199" ht="48" customHeight="1">
      <x:c r="A199" t="str">
        <x:v>San Mateo</x:v>
      </x:c>
      <x:c r="B199" t="str">
        <x:v>Community Action / Human Services</x:v>
      </x:c>
      <x:c r="C199" t="str">
        <x:v>San Mateo Community Action / Human Services</x:v>
      </x:c>
      <x:c r="D199" t="str">
        <x:v>County-specific resource slot / local program lookup</x:v>
      </x:c>
      <x:c r="E199" t="str">
        <x:v>https://www.csd.ca.gov/Pages/FindServices.aspx</x:v>
      </x:c>
      <x:c r="F199" t="str">
        <x:v>Research / verify</x:v>
      </x:c>
      <x:c r="G199" t="str">
        <x:v>https://www.csd.ca.gov/Pages/FindServices.aspx</x:v>
      </x:c>
      <x:c r="H199" t="str">
        <x:v>Community action or human services agency for household stabilization, utilities, and possible rent support.</x:v>
      </x:c>
      <x:c r="I199" t="str">
        <x:v>Verify eligibility and county coverage</x:v>
      </x:c>
      <x:c r="J199" t="str">
        <x:v>https://www.csd.ca.gov/Pages/FindServices.aspx</x:v>
      </x:c>
      <x:c r="K199" t="str">
        <x:v>2026-07-09</x:v>
      </x:c>
      <x:c r="L199" t="str">
        <x:v>Medium</x:v>
      </x:c>
      <x:c r="M199" t="str">
        <x:v>community action,human services,liheap,rent,utilities</x:v>
      </x:c>
      <x:c r="N199" t="str">
        <x:v>Framework row. Verify the specific local office, phone, application page, and open/closed status before using in a customer report.</x:v>
      </x:c>
    </x:row>
    <x:row r="200" ht="48" customHeight="1">
      <x:c r="A200" t="str">
        <x:v>San Mateo</x:v>
      </x:c>
      <x:c r="B200" t="str">
        <x:v>HUD-Approved Housing Counseling</x:v>
      </x:c>
      <x:c r="C200" t="str">
        <x:v>San Mateo HUD-Approved Housing Counseling</x:v>
      </x:c>
      <x:c r="D200" t="str">
        <x:v>County-specific resource slot / local program lookup</x:v>
      </x:c>
      <x:c r="E200" t="str">
        <x:v>https://www.consumerfinance.gov/find-a-housing-counselor/</x:v>
      </x:c>
      <x:c r="F200" t="str">
        <x:v>Research / verify</x:v>
      </x:c>
      <x:c r="G200" t="str">
        <x:v>https://www.consumerfinance.gov/find-a-housing-counselor/</x:v>
      </x:c>
      <x:c r="H200" t="str">
        <x:v>HUD-approved counseling pathway for housing stability, budgeting, rental counseling or referrals.</x:v>
      </x:c>
      <x:c r="I200" t="str">
        <x:v>Use HUD/CFPB locator to verify provider</x:v>
      </x:c>
      <x:c r="J200" t="str">
        <x:v>https://www.consumerfinance.gov/find-a-housing-counselor/</x:v>
      </x:c>
      <x:c r="K200" t="str">
        <x:v>2026-07-09</x:v>
      </x:c>
      <x:c r="L200" t="str">
        <x:v>Medium</x:v>
      </x:c>
      <x:c r="M200" t="str">
        <x:v>housing counseling,hud,counselor,tenant support</x:v>
      </x:c>
      <x:c r="N200" t="str">
        <x:v>Framework row. Verify the specific local office, phone, application page, and open/closed status before using in a customer report.</x:v>
      </x:c>
    </x:row>
    <x:row r="201" ht="48" customHeight="1">
      <x:c r="A201" t="str">
        <x:v>San Mateo</x:v>
      </x:c>
      <x:c r="B201" t="str">
        <x:v>Court Self-Help / Tenant Forms</x:v>
      </x:c>
      <x:c r="C201" t="str">
        <x:v>San Mateo Court Self-Help / Tenant Forms</x:v>
      </x:c>
      <x:c r="D201" t="str">
        <x:v>County-specific resource slot / local program lookup</x:v>
      </x:c>
      <x:c r="E201" t="str">
        <x:v>https://selfhelp.courts.ca.gov/eviction-tenant</x:v>
      </x:c>
      <x:c r="F201" t="str">
        <x:v>Research / verify</x:v>
      </x:c>
      <x:c r="G201" t="str">
        <x:v>https://selfhelp.courts.ca.gov/eviction-tenant</x:v>
      </x:c>
      <x:c r="H201" t="str">
        <x:v>Court self-help, tenant forms, and procedural resources; not a substitute for legal advice.</x:v>
      </x:c>
      <x:c r="I201" t="str">
        <x:v>Verify county court instructions</x:v>
      </x:c>
      <x:c r="J201" t="str">
        <x:v>https://selfhelp.courts.ca.gov/eviction-tenant</x:v>
      </x:c>
      <x:c r="K201" t="str">
        <x:v>2026-07-09</x:v>
      </x:c>
      <x:c r="L201" t="str">
        <x:v>High</x:v>
      </x:c>
      <x:c r="M201" t="str">
        <x:v>court,self-help,forms,eviction,tenant response</x:v>
      </x:c>
      <x:c r="N201" t="str">
        <x:v>Framework row. Verify the specific local office, phone, application page, and open/closed status before using in a customer report.</x:v>
      </x:c>
    </x:row>
  </x:sheetData>
  <x:conditionalFormatting sqref="L2:L201">
    <x:cfRule type="expression" dxfId="0" priority="1">
      <x:formula>L2="High"</x:formula>
    </x:cfRule>
    <x:cfRule type="expression" dxfId="1" priority="2">
      <x:formula>L2="Core"</x:formula>
    </x:cfRule>
    <x:cfRule type="expression" dxfId="2" priority="3">
      <x:formula>L2="Medium"</x:formula>
    </x:cfRule>
  </x:conditionalFormatting>
  <x:dataValidations count="2">
    <x:dataValidation type="list" sqref="L2:L201">
      <x:formula1>"Core,High,Medium,Low"</x:formula1>
    </x:dataValidation>
    <x:dataValidation type="list" sqref="A2:A201">
      <x:formula1>"Los Angeles,San Diego,Orange,Riverside,San Bernardino,Santa Clara,Alameda,Sacramento,Contra Costa,Fresno,Kern,Ventura,San Francisco,San Joaquin,Stanislaus,Sonoma,Monterey,Santa Barbara,Tulare,San Mateo"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6373813b149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 ht="34" customHeight="1">
      <x:c r="A1" s="12" t="str">
        <x:v>California Eviction Support Resource Database Framework</x:v>
      </x:c>
      <x:c r="B1" s="12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4" customHeight="1">
      <x:c r="A2" t="str">
        <x:v>Purpose</x:v>
      </x:c>
      <x:c r="B2" t="str">
        <x:v>200 resource framework entries for 20 California target counties, built for a $395 emergency housing / eviction-support action plan product.</x:v>
      </x:c>
    </x:row>
    <x:row r="3" ht="34" customHeight="1">
      <x:c r="A3" t="str">
        <x:v>Important Use Note</x:v>
      </x:c>
      <x:c r="B3" t="str">
        <x:v>This is a framework file matching the Florida workbook structure. Program funding, intake windows, application portals, and eligibility rules change frequently. Each customer report should re-check high-priority resources before delivery.</x:v>
      </x:c>
    </x:row>
    <x:row r="4" ht="34" customHeight="1">
      <x:c r="A4" t="str">
        <x:v>Framework Date</x:v>
      </x:c>
      <x:c r="B4" t="str">
        <x:v>2026-07-09</x:v>
      </x:c>
    </x:row>
    <x:row r="5" ht="34" customHeight="1">
      <x:c r="A5" t="str">
        <x:v>County Count</x:v>
      </x:c>
      <x:c r="B5" t="n">
        <x:v>20</x:v>
      </x:c>
    </x:row>
    <x:row r="6" ht="34" customHeight="1">
      <x:c r="A6" t="str">
        <x:v>Resource Rows</x:v>
      </x:c>
      <x:c r="B6" t="n">
        <x:v>200</x:v>
      </x:c>
    </x:row>
    <x:row r="7" ht="34" customHeight="1">
      <x:c r="A7" t="str">
        <x:v>Core Categories</x:v>
      </x:c>
      <x:c r="B7" t="str">
        <x:v>County Housing Department; Local Housing Authority; Emergency Rental/Housing Assistance; Legal Aid/Eviction Defense; United Way/211; Salvation Army; Catholic Charities; Community Action/Human Services; HUD Housing Counseling; Court Self-Help/Tenant Forms</x:v>
      </x:c>
    </x:row>
    <x:row r="8" ht="34" customHeight="1">
      <x:c r="A8" t="str">
        <x:v>Compliance Language</x:v>
      </x:c>
      <x:c r="B8" t="str">
        <x:v>Not legal advice. Not a law firm. No guarantee that eviction will be stopped, delayed, dismissed, or resolved.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0" hidden="0" customWidth="1"/>
    <x:col min="4" max="4" width="80" hidden="0" customWidth="1"/>
  </x:cols>
  <x:sheetData>
    <x:row r="1" ht="36" customHeight="1">
      <x:c r="A1" s="6" t="str">
        <x:v>Rule Name</x:v>
      </x:c>
      <x:c r="B1" s="6" t="str">
        <x:v>Condition</x:v>
      </x:c>
      <x:c r="C1" s="6" t="str">
        <x:v>Prioritize Categories</x:v>
      </x:c>
      <x:c r="D1" s="6" t="str">
        <x:v>Output Guidance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6" customHeight="1">
      <x:c r="A2" t="str">
        <x:v>Critical Court Date</x:v>
      </x:c>
      <x:c r="B2" t="str">
        <x:v>Court date within 7 days or judgment/lockout notice</x:v>
      </x:c>
      <x:c r="C2" t="str">
        <x:v>Legal Aid / Eviction Defense; Court Self-Help / Tenant Forms; Emergency Rental / Housing Assistance; United Way / 211</x:v>
      </x:c>
      <x:c r="D2" t="str">
        <x:v>Tell customer to contact legal aid/court resources immediately and gather all notices, lease, ledger, and proof of assistance applications.</x:v>
      </x:c>
    </x:row>
    <x:row r="3" ht="36" customHeight="1">
      <x:c r="A3" t="str">
        <x:v>No Court Yet, Notice Received</x:v>
      </x:c>
      <x:c r="B3" t="str">
        <x:v>3-day/pay-or-quit/notice received but no summons</x:v>
      </x:c>
      <x:c r="C3" t="str">
        <x:v>Emergency Rental / Housing Assistance; United Way / 211; Legal Aid / Eviction Defense; Landlord Communication Template</x:v>
      </x:c>
      <x:c r="D3" t="str">
        <x:v>Apply to assistance programs, send landlord communication, document application status, and prepare if case is filed.</x:v>
      </x:c>
    </x:row>
    <x:row r="4" ht="36" customHeight="1">
      <x:c r="A4" t="str">
        <x:v>Behind on Rent, No Notice</x:v>
      </x:c>
      <x:c r="B4" t="str">
        <x:v>Past-due rent but no formal notice</x:v>
      </x:c>
      <x:c r="C4" t="str">
        <x:v>United Way / 211; Emergency Rental / Housing Assistance; Community Action / Human Services; Catholic Charities / Faith-Based Emergency Aid</x:v>
      </x:c>
      <x:c r="D4" t="str">
        <x:v>Focus on payment support, document gathering, and early landlord negotiation.</x:v>
      </x:c>
    </x:row>
    <x:row r="5" ht="36" customHeight="1">
      <x:c r="A5" t="str">
        <x:v>Veteran Household</x:v>
      </x:c>
      <x:c r="B5" t="str">
        <x:v>Veteran = Yes</x:v>
      </x:c>
      <x:c r="C5" t="str">
        <x:v>County Housing Department; Community Action / Human Services; United Way / 211</x:v>
      </x:c>
      <x:c r="D5" t="str">
        <x:v>Add veteran-specific resource search and VA/SSVF provider lookup during manual review.</x:v>
      </x:c>
    </x:row>
    <x:row r="6" ht="36" customHeight="1">
      <x:c r="A6" t="str">
        <x:v>Disabled/Senior Household</x:v>
      </x:c>
      <x:c r="B6" t="str">
        <x:v>Disabled or senior person in home</x:v>
      </x:c>
      <x:c r="C6" t="str">
        <x:v>County Housing Department; Community Action / Human Services; HUD-Approved Housing Counseling</x:v>
      </x:c>
      <x:c r="D6" t="str">
        <x:v>Add disability/senior programs and reasonable accommodation prompts where applicable.</x:v>
      </x:c>
    </x:row>
    <x:row r="7" ht="36" customHeight="1">
      <x:c r="A7" t="str">
        <x:v>Children in Home</x:v>
      </x:c>
      <x:c r="B7" t="str">
        <x:v>Children in household = Yes</x:v>
      </x:c>
      <x:c r="C7" t="str">
        <x:v>United Way / 211; Catholic Charities / Faith-Based Emergency Aid; Emergency Rental / Housing Assistance</x:v>
      </x:c>
      <x:c r="D7" t="str">
        <x:v>Prioritize family-stability and homeless-prevention resources.</x:v>
      </x:c>
    </x:row>
    <x:row r="8" ht="36" customHeight="1">
      <x:c r="A8" t="str">
        <x:v>California Tenant Protection</x:v>
      </x:c>
      <x:c r="B8" t="str">
        <x:v>Resource Category = Court Self-Help / Tenant Forms</x:v>
      </x:c>
      <x:c r="C8" t="str">
        <x:v>Court Self-Help / Tenant Forms; Legal Aid / Eviction Defense</x:v>
      </x:c>
      <x:c r="D8" t="str">
        <x:v>Include California Judicial Branch tenant resources and local court self-help center steps in the action plan.</x:v>
      </x:c>
    </x:row>
    <x:row r="9" ht="36" customHeight="1">
      <x:c r="A9" t="str">
        <x:v>Funding Status Varies</x:v>
      </x:c>
      <x:c r="B9" t="str">
        <x:v>Any resource marked funding/appointments may open and close</x:v>
      </x:c>
      <x:c r="C9" t="str">
        <x:v>Emergency Rental / Housing Assistance; Salvation Army; Catholic Charities; Community Action / Human Services</x:v>
      </x:c>
      <x:c r="D9" t="str">
        <x:v>Manual verification required before customer-facing report.</x:v>
      </x:c>
    </x:row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</x:sheetData>
  <x:pageMargins left="0.7" right="0.7" top="0.75" bottom="0.75" header="0.3" footer="0.3"/>
  <x:tableParts count="1">
    <x:tablePart xmlns:r="http://schemas.openxmlformats.org/officeDocument/2006/relationships" r:id="R627cf061cb7e45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42" hidden="0" customWidth="1"/>
  </x:cols>
  <x:sheetData>
    <x:row r="1" ht="36" customHeight="1">
      <x:c r="A1" s="6" t="str">
        <x:v>Field</x:v>
      </x:c>
      <x:c r="B1" s="6" t="str">
        <x:v>Type</x:v>
      </x:c>
      <x:c r="C1" s="6" t="str">
        <x:v>Required</x:v>
      </x:c>
      <x:c r="D1" s="6" t="str">
        <x:v>Used For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6" customHeight="1">
      <x:c r="A2" t="str">
        <x:v>First Name</x:v>
      </x:c>
      <x:c r="B2" t="str">
        <x:v>Text</x:v>
      </x:c>
      <x:c r="C2" t="str">
        <x:v>Yes</x:v>
      </x:c>
      <x:c r="D2" t="str">
        <x:v>Customer profile/report</x:v>
      </x:c>
    </x:row>
    <x:row r="3" ht="36" customHeight="1">
      <x:c r="A3" t="str">
        <x:v>Last Name</x:v>
      </x:c>
      <x:c r="B3" t="str">
        <x:v>Text</x:v>
      </x:c>
      <x:c r="C3" t="str">
        <x:v>Yes</x:v>
      </x:c>
      <x:c r="D3" t="str">
        <x:v>Customer profile/report</x:v>
      </x:c>
    </x:row>
    <x:row r="4" ht="36" customHeight="1">
      <x:c r="A4" t="str">
        <x:v>Email</x:v>
      </x:c>
      <x:c r="B4" t="str">
        <x:v>Email</x:v>
      </x:c>
      <x:c r="C4" t="str">
        <x:v>Yes</x:v>
      </x:c>
      <x:c r="D4" t="str">
        <x:v>Delivery/login</x:v>
      </x:c>
    </x:row>
    <x:row r="5" ht="36" customHeight="1">
      <x:c r="A5" t="str">
        <x:v>Phone</x:v>
      </x:c>
      <x:c r="B5" t="str">
        <x:v>Phone</x:v>
      </x:c>
      <x:c r="C5" t="str">
        <x:v>Yes</x:v>
      </x:c>
      <x:c r="D5" t="str">
        <x:v>Urgent follow-up/SMS</x:v>
      </x:c>
    </x:row>
    <x:row r="6" ht="36" customHeight="1">
      <x:c r="A6" t="str">
        <x:v>County</x:v>
      </x:c>
      <x:c r="B6" t="str">
        <x:v>Dropdown</x:v>
      </x:c>
      <x:c r="C6" t="str">
        <x:v>Yes</x:v>
      </x:c>
      <x:c r="D6" t="str">
        <x:v>County resource matching</x:v>
      </x:c>
    </x:row>
    <x:row r="7" ht="36" customHeight="1">
      <x:c r="A7" t="str">
        <x:v>State</x:v>
      </x:c>
      <x:c r="B7" t="str">
        <x:v>Dropdown</x:v>
      </x:c>
      <x:c r="C7" t="str">
        <x:v>Yes</x:v>
      </x:c>
      <x:c r="D7" t="str">
        <x:v>Expansion logic</x:v>
      </x:c>
    </x:row>
    <x:row r="8" ht="36" customHeight="1">
      <x:c r="A8" t="str">
        <x:v>ZIP Code</x:v>
      </x:c>
      <x:c r="B8" t="str">
        <x:v>Text</x:v>
      </x:c>
      <x:c r="C8" t="str">
        <x:v>Yes</x:v>
      </x:c>
      <x:c r="D8" t="str">
        <x:v>HUD counselor/211/agency lookup</x:v>
      </x:c>
    </x:row>
    <x:row r="9" ht="36" customHeight="1">
      <x:c r="A9" t="str">
        <x:v>Amount of Rent Owed</x:v>
      </x:c>
      <x:c r="B9" t="str">
        <x:v>Currency</x:v>
      </x:c>
      <x:c r="C9" t="str">
        <x:v>Yes</x:v>
      </x:c>
      <x:c r="D9" t="str">
        <x:v>Urgency and assistance fit</x:v>
      </x:c>
    </x:row>
    <x:row r="10" ht="36" customHeight="1">
      <x:c r="A10" t="str">
        <x:v>Monthly Rent</x:v>
      </x:c>
      <x:c r="B10" t="str">
        <x:v>Currency</x:v>
      </x:c>
      <x:c r="C10" t="str">
        <x:v>Yes</x:v>
      </x:c>
      <x:c r="D10" t="str">
        <x:v>Rent burden/context</x:v>
      </x:c>
    </x:row>
    <x:row r="11" ht="36" customHeight="1">
      <x:c r="A11" t="str">
        <x:v>Months Behind</x:v>
      </x:c>
      <x:c r="B11" t="str">
        <x:v>Number</x:v>
      </x:c>
      <x:c r="C11" t="str">
        <x:v>Yes</x:v>
      </x:c>
      <x:c r="D11" t="str">
        <x:v>Urgency and documents</x:v>
      </x:c>
    </x:row>
    <x:row r="12" ht="36" customHeight="1">
      <x:c r="A12" t="str">
        <x:v>Notice Received</x:v>
      </x:c>
      <x:c r="B12" t="str">
        <x:v>Dropdown</x:v>
      </x:c>
      <x:c r="C12" t="str">
        <x:v>Yes</x:v>
      </x:c>
      <x:c r="D12" t="str">
        <x:v>Urgency scoring</x:v>
      </x:c>
    </x:row>
    <x:row r="13" ht="36" customHeight="1">
      <x:c r="A13" t="str">
        <x:v>Notice Type</x:v>
      </x:c>
      <x:c r="B13" t="str">
        <x:v>Dropdown</x:v>
      </x:c>
      <x:c r="C13" t="str">
        <x:v>Yes</x:v>
      </x:c>
      <x:c r="D13" t="str">
        <x:v>Urgency scoring</x:v>
      </x:c>
    </x:row>
    <x:row r="14" ht="36" customHeight="1">
      <x:c r="A14" t="str">
        <x:v>Court Date</x:v>
      </x:c>
      <x:c r="B14" t="str">
        <x:v>Date</x:v>
      </x:c>
      <x:c r="C14" t="str">
        <x:v>Conditional</x:v>
      </x:c>
      <x:c r="D14" t="str">
        <x:v>Urgency scoring</x:v>
      </x:c>
    </x:row>
    <x:row r="15" ht="36" customHeight="1">
      <x:c r="A15" t="str">
        <x:v>Case Number</x:v>
      </x:c>
      <x:c r="B15" t="str">
        <x:v>Text</x:v>
      </x:c>
      <x:c r="C15" t="str">
        <x:v>No</x:v>
      </x:c>
      <x:c r="D15" t="str">
        <x:v>Court/legal aid prep</x:v>
      </x:c>
    </x:row>
    <x:row r="16" ht="36" customHeight="1">
      <x:c r="A16" t="str">
        <x:v>Household Size</x:v>
      </x:c>
      <x:c r="B16" t="str">
        <x:v>Number</x:v>
      </x:c>
      <x:c r="C16" t="str">
        <x:v>Yes</x:v>
      </x:c>
      <x:c r="D16" t="str">
        <x:v>Income eligibility context</x:v>
      </x:c>
    </x:row>
    <x:row r="17" ht="36" customHeight="1">
      <x:c r="A17" t="str">
        <x:v>Monthly Household Income</x:v>
      </x:c>
      <x:c r="B17" t="str">
        <x:v>Currency</x:v>
      </x:c>
      <x:c r="C17" t="str">
        <x:v>Yes</x:v>
      </x:c>
      <x:c r="D17" t="str">
        <x:v>Eligibility context</x:v>
      </x:c>
    </x:row>
    <x:row r="18" ht="36" customHeight="1">
      <x:c r="A18" t="str">
        <x:v>Children in Home</x:v>
      </x:c>
      <x:c r="B18" t="str">
        <x:v>Yes/No</x:v>
      </x:c>
      <x:c r="C18" t="str">
        <x:v>Yes</x:v>
      </x:c>
      <x:c r="D18" t="str">
        <x:v>Priority resource matching</x:v>
      </x:c>
    </x:row>
    <x:row r="19" ht="36" customHeight="1">
      <x:c r="A19" t="str">
        <x:v>Senior in Home</x:v>
      </x:c>
      <x:c r="B19" t="str">
        <x:v>Yes/No</x:v>
      </x:c>
      <x:c r="C19" t="str">
        <x:v>Yes</x:v>
      </x:c>
      <x:c r="D19" t="str">
        <x:v>Priority resource matching</x:v>
      </x:c>
    </x:row>
    <x:row r="20" ht="36" customHeight="1">
      <x:c r="A20" t="str">
        <x:v>Disabled Person in Home</x:v>
      </x:c>
      <x:c r="B20" t="str">
        <x:v>Yes/No</x:v>
      </x:c>
      <x:c r="C20" t="str">
        <x:v>Yes</x:v>
      </x:c>
      <x:c r="D20" t="str">
        <x:v>Priority resource matching</x:v>
      </x:c>
    </x:row>
    <x:row r="21" ht="36" customHeight="1">
      <x:c r="A21" t="str">
        <x:v>Veteran</x:v>
      </x:c>
      <x:c r="B21" t="str">
        <x:v>Yes/No</x:v>
      </x:c>
      <x:c r="C21" t="str">
        <x:v>Yes</x:v>
      </x:c>
      <x:c r="D21" t="str">
        <x:v>Priority resource matching</x:v>
      </x:c>
    </x:row>
    <x:row r="22" ht="36" customHeight="1">
      <x:c r="A22" t="str">
        <x:v>Hardship Reason</x:v>
      </x:c>
      <x:c r="B22" t="str">
        <x:v>Multi-select</x:v>
      </x:c>
      <x:c r="C22" t="str">
        <x:v>Yes</x:v>
      </x:c>
      <x:c r="D22" t="str">
        <x:v>Landlord letter/application context</x:v>
      </x:c>
    </x:row>
    <x:row r="23" ht="36" customHeight="1">
      <x:c r="A23" t="str">
        <x:v>Documents Uploaded</x:v>
      </x:c>
      <x:c r="B23" t="str">
        <x:v>File upload</x:v>
      </x:c>
      <x:c r="C23" t="str">
        <x:v>No</x:v>
      </x:c>
      <x:c r="D23" t="str">
        <x:v>Fulfillment review</x:v>
      </x:c>
    </x:row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</x:sheetData>
  <x:pageMargins left="0.7" right="0.7" top="0.75" bottom="0.75" header="0.3" footer="0.3"/>
  <x:tableParts count="1">
    <x:tablePart xmlns:r="http://schemas.openxmlformats.org/officeDocument/2006/relationships" r:id="Rb10616c6d2744d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80" hidden="0" customWidth="1"/>
  </x:cols>
  <x:sheetData>
    <x:row r="1" ht="36" customHeight="1">
      <x:c r="A1" s="6" t="str">
        <x:v>Source</x:v>
      </x:c>
      <x:c r="B1" s="6" t="str">
        <x:v>URL</x:v>
      </x:c>
      <x:c r="C1" s="6" t="str">
        <x:v>Why It Matters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36" customHeight="1">
      <x:c r="A2" t="str">
        <x:v>California 211</x:v>
      </x:c>
      <x:c r="B2" t="str">
        <x:v>https://www.211ca.org/</x:v>
      </x:c>
      <x:c r="C2" t="str">
        <x:v>California-wide 211 referral access for rent, utilities, food, shelter and emergency resources.</x:v>
      </x:c>
    </x:row>
    <x:row r="3" ht="36" customHeight="1">
      <x:c r="A3" t="str">
        <x:v>California Department of Housing and Community Development</x:v>
      </x:c>
      <x:c r="B3" t="str">
        <x:v>https://www.hcd.ca.gov/</x:v>
      </x:c>
      <x:c r="C3" t="str">
        <x:v>State housing agency and housing program context.</x:v>
      </x:c>
    </x:row>
    <x:row r="4" ht="36" customHeight="1">
      <x:c r="A4" t="str">
        <x:v>California Courts Tenant Eviction Self-Help</x:v>
      </x:c>
      <x:c r="B4" t="str">
        <x:v>https://selfhelp.courts.ca.gov/eviction-tenant</x:v>
      </x:c>
      <x:c r="C4" t="str">
        <x:v>Statewide court self-help information for tenants facing eviction.</x:v>
      </x:c>
    </x:row>
    <x:row r="5" ht="36" customHeight="1">
      <x:c r="A5" t="str">
        <x:v>LawHelpCA</x:v>
      </x:c>
      <x:c r="B5" t="str">
        <x:v>https://www.lawhelpca.org/</x:v>
      </x:c>
      <x:c r="C5" t="str">
        <x:v>Legal aid/resource directory for California tenants.</x:v>
      </x:c>
    </x:row>
    <x:row r="6" ht="36" customHeight="1">
      <x:c r="A6" t="str">
        <x:v>Legal Aid Association of California</x:v>
      </x:c>
      <x:c r="B6" t="str">
        <x:v>https://laaconline.org/</x:v>
      </x:c>
      <x:c r="C6" t="str">
        <x:v>Legal aid network/directory context.</x:v>
      </x:c>
    </x:row>
    <x:row r="7" ht="36" customHeight="1">
      <x:c r="A7" t="str">
        <x:v>HUD California Renting Resources</x:v>
      </x:c>
      <x:c r="B7" t="str">
        <x:v>https://www.hud.gov/states/california/renting</x:v>
      </x:c>
      <x:c r="C7" t="str">
        <x:v>HUD renting and housing assistance reference for California.</x:v>
      </x:c>
    </x:row>
    <x:row r="8" ht="36" customHeight="1">
      <x:c r="A8" t="str">
        <x:v>CFPB Housing Counselor Locator</x:v>
      </x:c>
      <x:c r="B8" t="str">
        <x:v>https://www.consumerfinance.gov/find-a-housing-counselor/</x:v>
      </x:c>
      <x:c r="C8" t="str">
        <x:v>HUD-approved housing counselor lookup.</x:v>
      </x:c>
    </x:row>
    <x:row r="9" ht="36" customHeight="1">
      <x:c r="A9" t="str">
        <x:v>California Department of Community Services and Development</x:v>
      </x:c>
      <x:c r="B9" t="str">
        <x:v>https://www.csd.ca.gov/Pages/FindServices.aspx</x:v>
      </x:c>
      <x:c r="C9" t="str">
        <x:v>Community services/local assistance lookup, including energy and community services providers.</x:v>
      </x:c>
    </x:row>
    <x:row r="10" ht="36" customHeight="1">
      <x:c r="A10" t="str">
        <x:v>Salvation Army Western Territory</x:v>
      </x:c>
      <x:c r="B10" t="str">
        <x:v>https://westernusa.salvationarmy.org/</x:v>
      </x:c>
      <x:c r="C10" t="str">
        <x:v>Salvation Army regional locator/context for California service locations.</x:v>
      </x:c>
    </x:row>
    <x:row r="11" ht="36" customHeight="1">
      <x:c r="A11" t="str">
        <x:v>Catholic Charities USA Find Help</x:v>
      </x:c>
      <x:c r="B11" t="str">
        <x:v>https://www.catholiccharitiesusa.org/find-help/</x:v>
      </x:c>
      <x:c r="C11" t="str">
        <x:v>Faith-based emergency aid locator.</x:v>
      </x:c>
    </x:row>
    <x:row r="12" ht="36" customHeight="1">
      <x:c r="A12" t="str">
        <x:v>California Tenant Protection Act Information</x:v>
      </x:c>
      <x:c r="B12" t="str">
        <x:v>https://oag.ca.gov/consumers/general/landlord-tenant-issues</x:v>
      </x:c>
      <x:c r="C12" t="str">
        <x:v>State consumer information on landlord-tenant issues.</x:v>
      </x:c>
    </x:row>
    <x:row r="13" ht="36" customHeight="1">
      <x:c r="A13" t="str">
        <x:v>California Civil Rights Department Housing</x:v>
      </x:c>
      <x:c r="B13" t="str">
        <x:v>https://calcivilrights.ca.gov/housing/</x:v>
      </x:c>
      <x:c r="C13" t="str">
        <x:v>Fair housing and discrimination resources that may be relevant to tenant issues.</x:v>
      </x:c>
    </x:row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</x:sheetData>
  <x:pageMargins left="0.7" right="0.7" top="0.75" bottom="0.75" header="0.3" footer="0.3"/>
  <x:tableParts count="1">
    <x:tablePart xmlns:r="http://schemas.openxmlformats.org/officeDocument/2006/relationships" r:id="Re34471185d924f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 ht="24" customHeight="1">
      <x:c r="A1" s="6" t="str">
        <x:v>Metric</x:v>
      </x:c>
      <x:c r="B1" s="6" t="str">
        <x:v>Value</x:v>
      </x:c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4" customHeight="1">
      <x:c r="A2" t="str">
        <x:v>Counties Covered</x:v>
      </x:c>
      <x:c r="B2" t="n">
        <x:v>20</x:v>
      </x:c>
    </x:row>
    <x:row r="3" ht="24" customHeight="1">
      <x:c r="A3" t="str">
        <x:v>Total Resource Rows</x:v>
      </x:c>
      <x:c r="B3" t="n">
        <x:v>200</x:v>
      </x:c>
    </x:row>
    <x:row r="4" ht="24" customHeight="1">
      <x:c r="A4" t="str">
        <x:v>Core Priority Rows</x:v>
      </x:c>
      <x:c r="B4" t="n">
        <x:f>COUNTIF('Verified Resources'!L:L,"Core")</x:f>
        <x:v>40</x:v>
      </x:c>
    </x:row>
    <x:row r="5" ht="24" customHeight="1">
      <x:c r="A5" t="str">
        <x:v>High Priority Rows</x:v>
      </x:c>
      <x:c r="B5" t="n">
        <x:f>COUNTIF('Verified Resources'!L:L,"High")</x:f>
        <x:v>80</x:v>
      </x:c>
    </x:row>
    <x:row r="6" ht="24" customHeight="1">
      <x:c r="A6" t="str">
        <x:v>Medium Priority Rows</x:v>
      </x:c>
      <x:c r="B6" t="n">
        <x:f>COUNTIF('Verified Resources'!L:L,"Medium")</x:f>
        <x:v>80</x:v>
      </x:c>
    </x:row>
    <x:row r="7" ht="24" customHeight="1">
      <x:c r="A7" t="str">
        <x:v>Framework Date</x:v>
      </x:c>
      <x:c r="B7" t="str">
        <x:v>2026-07-09</x:v>
      </x:c>
    </x:row>
  </x:sheetData>
  <x:pageMargins left="0.7" right="0.7" top="0.75" bottom="0.75" header="0.3" footer="0.3"/>
  <x:tableParts count="1">
    <x:tablePart xmlns:r="http://schemas.openxmlformats.org/officeDocument/2006/relationships" r:id="R0b880d4e62784df2"/>
  </x:tableParts>
</x:worksheet>
</file>